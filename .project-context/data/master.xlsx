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iser" sheetId="1" r:id="rId1"/>
    <sheet name="Rumstyper" sheetId="2" r:id="rId2"/>
    <sheet name="Rum × poster" sheetId="3" r:id="rId3"/>
    <sheet name="Wbr-byggdelar" sheetId="4" r:id="rId4"/>
    <sheet name="Förklaring"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49"/>
  <sheetViews>
    <sheetView workbookViewId="0" rightToLeft="0"/>
  </sheetViews>
  <sheetData>
    <row r="1">
      <c r="A1" t="str">
        <v>Post-ID</v>
      </c>
      <c r="B1" t="str">
        <v>Kategori</v>
      </c>
      <c r="C1" t="str">
        <v>Etikett</v>
      </c>
      <c r="D1" t="str">
        <v>Wikells originalnamn</v>
      </c>
      <c r="E1" t="str">
        <v>Enhet</v>
      </c>
      <c r="F1" t="str">
        <v>Pris (kr)</v>
      </c>
      <c r="G1" t="str">
        <v>Pris-källa</v>
      </c>
      <c r="H1" t="str">
        <v>Wikells-ID</v>
      </c>
      <c r="I1" t="str">
        <v>Mtrl (kr)</v>
      </c>
      <c r="J1" t="str">
        <v>Tim (h)</v>
      </c>
      <c r="K1" t="str">
        <v>UE (kr)</v>
      </c>
      <c r="L1" t="str">
        <v>Spillfaktor</v>
      </c>
      <c r="M1" t="str">
        <v>Beräkning-flaggor</v>
      </c>
      <c r="N1" t="str">
        <v>Smart-mappning</v>
      </c>
      <c r="O1" t="str">
        <v>Wikells-artiklar (rå)</v>
      </c>
      <c r="P1" t="str">
        <v>Ingår (visas i app)</v>
      </c>
      <c r="Q1" t="str">
        <v>Ingår EJ (visas i app)</v>
      </c>
      <c r="R1" t="str">
        <v>Wikells-ref (visningstext)</v>
      </c>
      <c r="S1" t="str">
        <v>Anmärkning</v>
      </c>
      <c r="T1" t="str">
        <v>tagLabel</v>
      </c>
    </row>
    <row r="2">
      <c r="A2" t="str">
        <v>golv_ekparkett</v>
      </c>
      <c r="B2" t="str">
        <v>Golv</v>
      </c>
      <c r="C2" t="str">
        <v>Ekparkett</v>
      </c>
      <c r="D2" t="str">
        <v>Ekparkett på golv</v>
      </c>
      <c r="E2" t="str">
        <v>kr/m²</v>
      </c>
      <c r="F2">
        <v>757</v>
      </c>
      <c r="G2" t="str">
        <v>Wikells</v>
      </c>
      <c r="H2" t="str">
        <v>15.016</v>
      </c>
      <c r="I2" t="str">
        <v/>
      </c>
      <c r="J2" t="str">
        <v/>
      </c>
      <c r="K2" t="str">
        <v/>
      </c>
      <c r="L2" t="str">
        <v/>
      </c>
      <c r="M2" t="str">
        <v/>
      </c>
      <c r="N2" t="str">
        <v/>
      </c>
      <c r="O2" t="str">
        <v>15 eklamellparkett-limfritt; 3 Tuplex underlagsmatta</v>
      </c>
      <c r="P2" t="str">
        <v>Rivning av befintligt golv — förvald följepost, redan medräknad i totalen; Underlagspapp 2 mm; Mjukfogning vid rörgenomföringar; Sockellist 12 mm; Montering med klick-system; Städning efter läggning</v>
      </c>
      <c r="Q2" t="str">
        <v>Flytspackling vid ojämnt underlag — tillval, kryssa i följeposten om underlaget kräver det; Flyttning av möbler; Tröskel mot angränsande rum</v>
      </c>
      <c r="R2" t="str">
        <v>Wikells byggdel 15.016</v>
      </c>
      <c r="S2" t="str">
        <v>Enligt Wikells 15.016. Dennis beslut 2026-04-22.</v>
      </c>
    </row>
    <row r="3">
      <c r="A3" t="str">
        <v>golv_klickvinyl</v>
      </c>
      <c r="B3" t="str">
        <v>Golv</v>
      </c>
      <c r="C3" t="str">
        <v>Klickvinyl</v>
      </c>
      <c r="D3" t="str">
        <v/>
      </c>
      <c r="E3" t="str">
        <v>kr/m²</v>
      </c>
      <c r="F3">
        <v>755</v>
      </c>
      <c r="G3" t="str">
        <v>Byggbiten</v>
      </c>
      <c r="H3" t="str">
        <v/>
      </c>
      <c r="I3" t="str">
        <v/>
      </c>
      <c r="J3" t="str">
        <v/>
      </c>
      <c r="K3" t="str">
        <v/>
      </c>
      <c r="L3" t="str">
        <v/>
      </c>
      <c r="M3" t="str">
        <v/>
      </c>
      <c r="N3" t="str">
        <v/>
      </c>
      <c r="O3" t="str">
        <v/>
      </c>
      <c r="P3" t="str">
        <v>Rivning av befintligt golv — förvald följepost, redan medräknad i totalen; Underlagspapp 2 mm; Sockellist 12 mm; Klick-montering; Städning efter läggning</v>
      </c>
      <c r="Q3" t="str">
        <v>Flytspackling vid ojämnt underlag — tillval, kryssa i följeposten om underlaget kräver det; Flyttning av möbler; Tröskel mot angränsande rum</v>
      </c>
      <c r="R3" t="str">
        <v>Byggbiten-kalibrerad (benchmark Wikells 15.018 laminat)</v>
      </c>
      <c r="S3" t="str">
        <v>Summa av 2 artiklar, se Flik 4 | Klickvinyl/heltäckningsmatta saknas som egen byggdel i Wikells HSB-3a. Pris kalibrerat mot laminat/linoleum.</v>
      </c>
    </row>
    <row r="4">
      <c r="A4" t="str">
        <v>golv_matta</v>
      </c>
      <c r="B4" t="str">
        <v>Golv</v>
      </c>
      <c r="C4" t="str">
        <v>Heltäckningsmatta</v>
      </c>
      <c r="D4" t="str">
        <v/>
      </c>
      <c r="E4" t="str">
        <v>kr/m²</v>
      </c>
      <c r="F4">
        <v>730</v>
      </c>
      <c r="G4" t="str">
        <v>Byggbiten</v>
      </c>
      <c r="H4" t="str">
        <v/>
      </c>
      <c r="I4" t="str">
        <v/>
      </c>
      <c r="J4" t="str">
        <v/>
      </c>
      <c r="K4" t="str">
        <v/>
      </c>
      <c r="L4" t="str">
        <v/>
      </c>
      <c r="M4" t="str">
        <v/>
      </c>
      <c r="N4" t="str">
        <v/>
      </c>
      <c r="O4" t="str">
        <v/>
      </c>
      <c r="P4" t="str">
        <v>Rivning av befintligt golv — förvald följepost, redan medräknad i totalen; Limning mot underlag; Fogning / svetsning av skarvar; Sockellist 12 mm; Kapning vid väggar; Städning efter läggning</v>
      </c>
      <c r="Q4" t="str">
        <v>Flytspackling vid ojämnt underlag — tillval, kryssa i följeposten om underlaget kräver det; Flyttning av möbler</v>
      </c>
      <c r="R4" t="str">
        <v>Byggbiten-kalibrerad (benchmark Wikells 15.020 linoleum)</v>
      </c>
      <c r="S4" t="str">
        <v>Summa av 2 artiklar, se Flik 4 | Klickvinyl/heltäckningsmatta saknas som egen byggdel i Wikells HSB-3a. Pris kalibrerat mot laminat/linoleum.</v>
      </c>
    </row>
    <row r="5">
      <c r="A5" t="str">
        <v>malning_tak</v>
      </c>
      <c r="B5" t="str">
        <v>Målning</v>
      </c>
      <c r="C5" t="str">
        <v>Tak</v>
      </c>
      <c r="D5" t="str">
        <v/>
      </c>
      <c r="E5" t="str">
        <v>kr/m²</v>
      </c>
      <c r="F5">
        <v>144</v>
      </c>
      <c r="G5" t="str">
        <v>Byggbiten</v>
      </c>
      <c r="H5" t="str">
        <v/>
      </c>
      <c r="I5" t="str">
        <v/>
      </c>
      <c r="J5" t="str">
        <v/>
      </c>
      <c r="K5" t="str">
        <v/>
      </c>
      <c r="L5" t="str">
        <v/>
      </c>
      <c r="M5" t="str">
        <v/>
      </c>
      <c r="N5" t="str">
        <v/>
      </c>
      <c r="O5" t="str">
        <v/>
      </c>
      <c r="P5" t="str">
        <v>Lätt spackling av mindre sprickor; Grundning där så behövs; 2 strykningar vit takfärg; Maskering och avtäckning</v>
      </c>
      <c r="Q5" t="str">
        <v>Kraftig spackling/renovering av tak (offereras separat); Specialkulörer — vit är standard; Skyddstäckning (egen följepost)</v>
      </c>
      <c r="R5" t="str">
        <v>Byggbiten-kalibrerat</v>
      </c>
      <c r="S5" t="str">
        <v>Byggbiten-kalibrerat pris för ommålning tak inkl arbete. Wbr 14.038 är bara materialet.</v>
      </c>
    </row>
    <row r="6">
      <c r="A6" t="str">
        <v>malning_vagg</v>
      </c>
      <c r="B6" t="str">
        <v>Målning</v>
      </c>
      <c r="C6" t="str">
        <v>Väggar</v>
      </c>
      <c r="D6" t="str">
        <v/>
      </c>
      <c r="E6" t="str">
        <v>kr/m² vägg</v>
      </c>
      <c r="F6">
        <v>144</v>
      </c>
      <c r="G6" t="str">
        <v>Byggbiten</v>
      </c>
      <c r="H6" t="str">
        <v/>
      </c>
      <c r="I6" t="str">
        <v/>
      </c>
      <c r="J6" t="str">
        <v/>
      </c>
      <c r="K6" t="str">
        <v/>
      </c>
      <c r="L6" t="str">
        <v/>
      </c>
      <c r="M6" t="str">
        <v>wallCalc</v>
      </c>
      <c r="N6" t="str">
        <v/>
      </c>
      <c r="O6" t="str">
        <v/>
      </c>
      <c r="P6" t="str">
        <v>Lätt spackling av mindre sprickor; Grundning där så behövs; 2 strykningar latexfärg; Maskering och avtäckning</v>
      </c>
      <c r="Q6" t="str">
        <v>Spärrmålning (offereras separat); Demontering av lister; Speciella kulörer — standard väljs tillsammans</v>
      </c>
      <c r="R6" t="str">
        <v>Byggbiten-kalibrerat</v>
      </c>
      <c r="S6" t="str">
        <v>Byggbiten-kalibrerat pris för ommålning väggar inkl arbete.</v>
      </c>
    </row>
    <row r="7">
      <c r="A7" t="str">
        <v>innerdorr</v>
      </c>
      <c r="B7" t="str">
        <v>Tillval</v>
      </c>
      <c r="C7" t="str">
        <v>Ny innerdörr</v>
      </c>
      <c r="D7" t="str">
        <v>Bostadsinnerdörr 9x21 målad</v>
      </c>
      <c r="E7" t="str">
        <v>kr/st</v>
      </c>
      <c r="F7">
        <v>5070</v>
      </c>
      <c r="G7" t="str">
        <v>Wikells</v>
      </c>
      <c r="H7" t="str">
        <v>16.056</v>
      </c>
      <c r="I7" t="str">
        <v/>
      </c>
      <c r="J7" t="str">
        <v/>
      </c>
      <c r="K7" t="str">
        <v/>
      </c>
      <c r="L7" t="str">
        <v/>
      </c>
      <c r="M7" t="str">
        <v>hasCount</v>
      </c>
      <c r="N7" t="str">
        <v/>
      </c>
      <c r="O7" t="str">
        <v>9x21 målad lättdörr; Foder, 12x43 vitmålad; Ektröskel; Fallåstillbehör; Trycke av metall; Dörrstoppare med distans</v>
      </c>
      <c r="P7" t="str">
        <v>Dörrblad slätlackad vit; Karmset; Trycke + beslag; Montering; Justering</v>
      </c>
      <c r="Q7" t="str">
        <v>Foder byte (offereras separat om befintligt foder ej passar); Målning av karmar efter montering (görs vid behov inom målning-posten); Säkerhetsdörr — (välj ytterdörr i entré)</v>
      </c>
      <c r="R7" t="str">
        <v>Wikells byggdel 16.056</v>
      </c>
      <c r="S7" t="str">
        <v>Summa av 6 artiklar, se Flik 4</v>
      </c>
    </row>
    <row r="8">
      <c r="A8" t="str">
        <v>innerdorr_malning</v>
      </c>
      <c r="B8" t="str">
        <v>Tillval</v>
      </c>
      <c r="C8" t="str">
        <v>Måla befintlig innerdörr</v>
      </c>
      <c r="D8" t="str">
        <v>Ommålning innerdörrar</v>
      </c>
      <c r="E8" t="str">
        <v>kr/st</v>
      </c>
      <c r="F8">
        <f>I8*L8 + J8*930 + K8*1.1</f>
        <v>1210</v>
      </c>
      <c r="G8" t="str">
        <v>Wikells</v>
      </c>
      <c r="H8" t="str">
        <v>14.048</v>
      </c>
      <c r="I8">
        <v>0</v>
      </c>
      <c r="J8">
        <v>0</v>
      </c>
      <c r="K8">
        <v>1102</v>
      </c>
      <c r="L8">
        <v>1</v>
      </c>
      <c r="M8" t="str">
        <v>hasCount</v>
      </c>
      <c r="N8" t="str">
        <v/>
      </c>
      <c r="O8" t="str">
        <v>Lackf ommåln 956-30510 dörr+karm</v>
      </c>
      <c r="P8" t="str">
        <v>Lätt slipning/förbehandling; Grundning; 2 strykningar vit lackfärg; Båda sidor + karm</v>
      </c>
      <c r="Q8" t="str">
        <v>Lagning av större skador; Byte av beslag; Demontering för verkstadsmålning</v>
      </c>
      <c r="R8" t="str">
        <v>Wikells byggdel 14.048</v>
      </c>
      <c r="S8" t="str">
        <v/>
      </c>
    </row>
    <row r="9">
      <c r="A9" t="str">
        <v>fonster_malning</v>
      </c>
      <c r="B9" t="str">
        <v>Tillval</v>
      </c>
      <c r="C9" t="str">
        <v>Måla fönster invändigt</v>
      </c>
      <c r="D9" t="str">
        <v/>
      </c>
      <c r="E9" t="str">
        <v>kr/st</v>
      </c>
      <c r="F9">
        <v>1350</v>
      </c>
      <c r="G9" t="str">
        <v>Byggbiten</v>
      </c>
      <c r="H9" t="str">
        <v/>
      </c>
      <c r="I9" t="str">
        <v/>
      </c>
      <c r="J9" t="str">
        <v/>
      </c>
      <c r="K9" t="str">
        <v/>
      </c>
      <c r="L9" t="str">
        <v/>
      </c>
      <c r="M9" t="str">
        <v>hasCount</v>
      </c>
      <c r="N9" t="str">
        <v/>
      </c>
      <c r="O9" t="str">
        <v/>
      </c>
      <c r="P9" t="str">
        <v>Lätt slipning; Grundning vid blottade ytor; 2 strykningar vit lackfärg; Invändiga karmar + bågar + foder</v>
      </c>
      <c r="Q9" t="str">
        <v>Utvändig målning; Fönsterbyte; Glasbyte; Lagning av större rötskador</v>
      </c>
      <c r="R9" t="str">
        <v>Patrik Norlén (UE-målare) — offertpris 2026</v>
      </c>
      <c r="S9" t="str">
        <v>Patrik Norléns ommålningspris. Ersätter wbr 14.047 (bara karm-oljefärg — otillräcklig scope).</v>
      </c>
    </row>
    <row r="10">
      <c r="A10" t="str">
        <v>garderob_60</v>
      </c>
      <c r="B10" t="str">
        <v>Tillval</v>
      </c>
      <c r="C10" t="str">
        <v>Marbodal 60's garderob</v>
      </c>
      <c r="D10" t="str">
        <v/>
      </c>
      <c r="E10" t="str">
        <v>kr/st</v>
      </c>
      <c r="F10">
        <v>3600</v>
      </c>
      <c r="G10" t="str">
        <v>HSB-förhandlat</v>
      </c>
      <c r="H10" t="str">
        <v/>
      </c>
      <c r="I10" t="str">
        <v/>
      </c>
      <c r="J10" t="str">
        <v/>
      </c>
      <c r="K10" t="str">
        <v/>
      </c>
      <c r="L10" t="str">
        <v/>
      </c>
      <c r="M10" t="str">
        <v>hasCount</v>
      </c>
      <c r="N10" t="str">
        <v/>
      </c>
      <c r="O10" t="str">
        <v/>
      </c>
      <c r="P10" t="str">
        <v>Marbodal 60's garderobsstomme; Montering</v>
      </c>
      <c r="Q10" t="str">
        <v>Inredning (hyllor, lådor utöver standard); Belysning</v>
      </c>
      <c r="R10" t="str">
        <v>HSB-avtalspris Marbodal 2026</v>
      </c>
      <c r="S10" t="str">
        <v>HSB-förhandlat Marbodal-pris. Ersätter wbr 17.020 (Wikells standard-garderob 14600).</v>
      </c>
    </row>
    <row r="11">
      <c r="A11" t="str">
        <v>golv_klinker</v>
      </c>
      <c r="B11" t="str">
        <v>Golv</v>
      </c>
      <c r="C11" t="str">
        <v>Klinker</v>
      </c>
      <c r="D11" t="str">
        <v>Klinker på golv</v>
      </c>
      <c r="E11" t="str">
        <v>kr/m²</v>
      </c>
      <c r="F11">
        <v>2593</v>
      </c>
      <c r="G11" t="str">
        <v>Wikells</v>
      </c>
      <c r="H11" t="str">
        <v>15.015</v>
      </c>
      <c r="I11" t="str">
        <v/>
      </c>
      <c r="J11" t="str">
        <v/>
      </c>
      <c r="K11" t="str">
        <v/>
      </c>
      <c r="L11" t="str">
        <v/>
      </c>
      <c r="M11" t="str">
        <v/>
      </c>
      <c r="N11" t="str">
        <v/>
      </c>
      <c r="O11" t="str">
        <v>Klinkerplattor, 300x300 standard; Fuktskydd typ tätduk; Klinkersockel H=100</v>
      </c>
      <c r="P11" t="str">
        <v>Rivning av befintligt golv — förvald följepost, redan medräknad i totalen; Flytspackling undergolv — förvald följepost, redan medräknad i totalen; Limfix och fog; Montering med fogbredd 3 mm; Sockellist i klinker; Silikonfog mot vägg; Städning efter läggning</v>
      </c>
      <c r="Q11" t="str">
        <v>Flyttning av möbler; Tätskikt (gäller ej våtrum — där används separat badrumspost)</v>
      </c>
      <c r="R11" t="str">
        <v>Wikells byggdel 15.015</v>
      </c>
      <c r="S11" t="str">
        <v>Enligt Wikells 15.015 (inkl. fuktskydd + klinkersockel). Dennis beslut 2026-04-22.</v>
      </c>
    </row>
    <row r="12">
      <c r="A12" t="str">
        <v>hatthylla</v>
      </c>
      <c r="B12" t="str">
        <v>Tillval</v>
      </c>
      <c r="C12" t="str">
        <v>Hatthylla inkl montage</v>
      </c>
      <c r="D12" t="str">
        <v/>
      </c>
      <c r="E12" t="str">
        <v>kr/st</v>
      </c>
      <c r="F12">
        <v>1450</v>
      </c>
      <c r="G12" t="str">
        <v>HSB-förhandlat</v>
      </c>
      <c r="H12" t="str">
        <v/>
      </c>
      <c r="I12" t="str">
        <v/>
      </c>
      <c r="J12" t="str">
        <v/>
      </c>
      <c r="K12" t="str">
        <v/>
      </c>
      <c r="L12" t="str">
        <v/>
      </c>
      <c r="M12" t="str">
        <v>hasCount</v>
      </c>
      <c r="N12" t="str">
        <v/>
      </c>
      <c r="O12" t="str">
        <v/>
      </c>
      <c r="P12" t="str">
        <v>Enkel hatthylla med krokar och hyllplan; monterad i hall; standardutförande.</v>
      </c>
      <c r="Q12" t="str">
        <v>Specialutförande; hatthylla bredare än 60 cm.</v>
      </c>
      <c r="R12" t="str">
        <v>HSB-avtalspris 2026</v>
      </c>
      <c r="S12" t="str">
        <v>HSB-förhandlat pris. Dennis beslut 2026-04-22.</v>
      </c>
    </row>
    <row r="13">
      <c r="A13" t="str">
        <v>entre_klinker</v>
      </c>
      <c r="B13" t="str">
        <v>Tillval</v>
      </c>
      <c r="C13" t="str">
        <v>Klinker</v>
      </c>
      <c r="D13" t="str">
        <v>Klinker på golv (torrt rum)</v>
      </c>
      <c r="E13" t="str">
        <v>kr/m²</v>
      </c>
      <c r="F13">
        <f>I13*L13 + J13*930 + K13*1.10</f>
        <v>1800.76</v>
      </c>
      <c r="G13" t="str">
        <v>Wikells</v>
      </c>
      <c r="H13" t="str">
        <v>15.015</v>
      </c>
      <c r="I13">
        <v>646</v>
      </c>
      <c r="J13">
        <v>1.2</v>
      </c>
      <c r="K13">
        <v>0</v>
      </c>
      <c r="L13">
        <v>1.06</v>
      </c>
      <c r="M13" t="str">
        <v>hasArea, reducesFloor</v>
      </c>
      <c r="N13" t="str">
        <v>Från Wikells 15.015, endast klinkerplatte-artikeln. Fuktskydd och klinkersockel utelämnade eftersom entré/kök/hall är torra utrymmen.</v>
      </c>
      <c r="O13" t="str">
        <v>Klinkerplattor, 300x300 standard</v>
      </c>
      <c r="P13" t="str">
        <v>Läggs som del av golvet — resterande yta använder valt material (ekparkett/klickvinyl/matta); Rivning av befintligt golv — förvald följepost, redan medräknad i totalen; Flytspackling undergolv — förvald följepost, redan medräknad i totalen; Klinkerplattor 300x300; Sättbruk; Fogning</v>
      </c>
      <c r="Q13" t="str">
        <v>Fuktskydd (ej behövligt i torra rum); Klinkersockel (ej behövligt i torra rum)</v>
      </c>
      <c r="R13" t="str">
        <v>Wikells 15.015 (artikel 1/3 — torr variant)</v>
      </c>
      <c r="S13" t="str">
        <v>Torr variant av 15.015. Dennis beslut 2026-04-22.</v>
      </c>
    </row>
    <row r="14">
      <c r="A14" t="str">
        <v>ytterdorr</v>
      </c>
      <c r="B14" t="str">
        <v>Tillval</v>
      </c>
      <c r="C14" t="str">
        <v>Ytterdörr (Daloc)</v>
      </c>
      <c r="D14" t="str">
        <v/>
      </c>
      <c r="E14" t="str">
        <v>kr/st</v>
      </c>
      <c r="F14">
        <v>28000</v>
      </c>
      <c r="G14" t="str">
        <v>Placeholder</v>
      </c>
      <c r="H14" t="str">
        <v/>
      </c>
      <c r="I14" t="str">
        <v/>
      </c>
      <c r="J14" t="str">
        <v/>
      </c>
      <c r="K14" t="str">
        <v/>
      </c>
      <c r="L14" t="str">
        <v/>
      </c>
      <c r="M14" t="str">
        <v>hasCount, placeholder</v>
      </c>
      <c r="N14" t="str">
        <v/>
      </c>
      <c r="O14" t="str">
        <v/>
      </c>
      <c r="P14" t="str">
        <v>Ny ytterdörr inkl karm; tröskel; handtag och montage. Specificeras vid offert.</v>
      </c>
      <c r="Q14" t="str">
        <v/>
      </c>
      <c r="R14" t="str">
        <v/>
      </c>
      <c r="S14" t="str">
        <v/>
      </c>
    </row>
    <row r="15">
      <c r="A15" t="str">
        <v>kok_standard</v>
      </c>
      <c r="B15" t="str">
        <v>Köksinredning</v>
      </c>
      <c r="C15" t="str">
        <v>Kök standard</v>
      </c>
      <c r="D15" t="str">
        <v/>
      </c>
      <c r="E15" t="str">
        <v>schablon</v>
      </c>
      <c r="F15">
        <v>150000</v>
      </c>
      <c r="G15" t="str">
        <v>Placeholder</v>
      </c>
      <c r="H15" t="str">
        <v/>
      </c>
      <c r="I15" t="str">
        <v/>
      </c>
      <c r="J15" t="str">
        <v/>
      </c>
      <c r="K15" t="str">
        <v/>
      </c>
      <c r="L15" t="str">
        <v/>
      </c>
      <c r="M15" t="str">
        <v>placeholder</v>
      </c>
      <c r="N15" t="str">
        <v/>
      </c>
      <c r="O15" t="str">
        <v/>
      </c>
      <c r="P15" t="str">
        <v>Komplett kök standard inkl stomme; luckor; bänkskiva; vitvaror. Specificeras vid offert.</v>
      </c>
      <c r="Q15" t="str">
        <v/>
      </c>
      <c r="R15" t="str">
        <v/>
      </c>
      <c r="S15" t="str">
        <v/>
      </c>
    </row>
    <row r="16">
      <c r="A16" t="str">
        <v>kok_plus</v>
      </c>
      <c r="B16" t="str">
        <v>Köksinredning</v>
      </c>
      <c r="C16" t="str">
        <v>Kök plus</v>
      </c>
      <c r="D16" t="str">
        <v/>
      </c>
      <c r="E16" t="str">
        <v>schablon</v>
      </c>
      <c r="F16">
        <v>225000</v>
      </c>
      <c r="G16" t="str">
        <v>Placeholder</v>
      </c>
      <c r="H16" t="str">
        <v/>
      </c>
      <c r="I16" t="str">
        <v/>
      </c>
      <c r="J16" t="str">
        <v/>
      </c>
      <c r="K16" t="str">
        <v/>
      </c>
      <c r="L16" t="str">
        <v/>
      </c>
      <c r="M16" t="str">
        <v>placeholder</v>
      </c>
      <c r="N16" t="str">
        <v/>
      </c>
      <c r="O16" t="str">
        <v/>
      </c>
      <c r="P16" t="str">
        <v>Komplett kök Plus inkl uppgraderad stomme; luckor; bänkskiva; vitvaror. Specificeras vid offert.</v>
      </c>
      <c r="Q16" t="str">
        <v/>
      </c>
      <c r="R16" t="str">
        <v/>
      </c>
      <c r="S16" t="str">
        <v/>
      </c>
    </row>
    <row r="17">
      <c r="A17" t="str">
        <v>badrum_golv_klinker</v>
      </c>
      <c r="B17" t="str">
        <v>Golv</v>
      </c>
      <c r="C17" t="str">
        <v>Klinker på våtrumsgolv</v>
      </c>
      <c r="D17" t="str">
        <v>Klinker på våtrumsgolv med folieförstärkt tätskikt</v>
      </c>
      <c r="E17" t="str">
        <v>kr/m²</v>
      </c>
      <c r="F17">
        <v>3155</v>
      </c>
      <c r="G17" t="str">
        <v>Byggbiten</v>
      </c>
      <c r="H17" t="str">
        <v>8.515</v>
      </c>
      <c r="I17" t="str">
        <v/>
      </c>
      <c r="J17" t="str">
        <v/>
      </c>
      <c r="K17" t="str">
        <v/>
      </c>
      <c r="L17" t="str">
        <v/>
      </c>
      <c r="M17" t="str">
        <v/>
      </c>
      <c r="N17" t="str">
        <v/>
      </c>
      <c r="O17" t="str">
        <v>Klinkerplattor 300x300 standard (Wikells Q1.4121500); Folieförstärkt tätskikt enligt BBR/GVK (Byggbiten-tillägg ~600 kr/m²); Klinkersockel H=100 (Wikells Q1.4421300); Fästmassa och fog; Silikonfog mot vägg och golvbrunn</v>
      </c>
      <c r="P17" t="str">
        <v>Fallspackling med fall mot golvbrunn (förvald följepost badrum_fallspackling — redan medräknad i totalen); Folieförstärkt tätskikt enligt BBR/GVK; Våtrumsklassad klinker; Fästmassa + fog; Silikonfog mot vägg och golvbrunn; Städning efter läggning</v>
      </c>
      <c r="Q17" t="str">
        <v>Demontering av befintligt ytskikt ingår i rumsrivning (badrum_rivning); Montering av golvbrunn (ingår i UE-VS)</v>
      </c>
      <c r="R17" t="str">
        <v>Byggbitens komposit 8.515 (Wikells 15.015 + folieförstärkt tätskikt)</v>
      </c>
      <c r="S17" t="str">
        <v>Byggbitens komposit baserat på Wikells 15.015 + folieförstärkt tätskikt (Byggbiten-pålägg 600 kr/m². Wbr-sökning gav 0 träffar på "folie"/"tätskikt" som egna artiklar). Dennis beslut 2026-04-22.</v>
      </c>
    </row>
    <row r="18">
      <c r="A18" t="str">
        <v>badrum_golv_plastmatta</v>
      </c>
      <c r="B18" t="str">
        <v>Golv</v>
      </c>
      <c r="C18" t="str">
        <v>Plastmatta våtrumsklassad</v>
      </c>
      <c r="D18" t="str">
        <v>Plastmattor v-täta på golv</v>
      </c>
      <c r="E18" t="str">
        <v>kr/m²</v>
      </c>
      <c r="F18">
        <v>1194</v>
      </c>
      <c r="G18" t="str">
        <v>Wikells</v>
      </c>
      <c r="H18" t="str">
        <v>15.023</v>
      </c>
      <c r="I18" t="str">
        <v/>
      </c>
      <c r="J18" t="str">
        <v/>
      </c>
      <c r="K18" t="str">
        <v/>
      </c>
      <c r="L18" t="str">
        <v/>
      </c>
      <c r="M18" t="str">
        <v/>
      </c>
      <c r="N18" t="str">
        <v/>
      </c>
      <c r="O18" t="str">
        <v>2,0 plastmatta, v-tät; Uppvikt plastmatta, v-tät</v>
      </c>
      <c r="P18" t="str">
        <v>Fallspackling med fall mot golvbrunn (förvald följepost badrum_fallspackling — redan medräknad i totalen); Våtrumsklassad plastmatta; Limning; Värmesvetsade skarvar; Uppvik mot vägg; Täckning av golvbrunn med manchett</v>
      </c>
      <c r="Q18" t="str">
        <v>Demontering av befintligt ytskikt ingår i rumsrivning (badrum_rivning); Tätskikt integreras i mattan</v>
      </c>
      <c r="R18" t="str">
        <v>Wikells byggdel 15.023</v>
      </c>
      <c r="S18" t="str">
        <v>Summa av 2 artiklar, se Flik 4</v>
      </c>
    </row>
    <row r="19">
      <c r="A19" t="str">
        <v>badrum_vagg_kakel</v>
      </c>
      <c r="B19" t="str">
        <v>Vägg</v>
      </c>
      <c r="C19" t="str">
        <v>Kakel på vägg</v>
      </c>
      <c r="D19" t="str">
        <v>Våtrumsvägg med plywood, våtrumsgips och kakel</v>
      </c>
      <c r="E19" t="str">
        <v>kr/m² vägg</v>
      </c>
      <c r="F19">
        <v>2435</v>
      </c>
      <c r="G19" t="str">
        <v>Wikells</v>
      </c>
      <c r="H19" t="str">
        <v>8.502</v>
      </c>
      <c r="I19" t="str">
        <v/>
      </c>
      <c r="J19" t="str">
        <v/>
      </c>
      <c r="K19" t="str">
        <v/>
      </c>
      <c r="L19" t="str">
        <v/>
      </c>
      <c r="M19" t="str">
        <v>wallCalc</v>
      </c>
      <c r="N19" t="str">
        <v/>
      </c>
      <c r="O19" t="str">
        <v>Kakelplattor 150×150 färgade; Fuktskydd typ tätduk; 13 Glasrocskiva våtrum B=900; 15 plywood K20/70 B=900</v>
      </c>
      <c r="P19" t="str">
        <v>Rivning av befintligt kakel (ingår i badrum_rivning); plywood K20/70; våtrumsgips; folieförstärkt tätskikt; kakelplattor 150×150; fästmassa; silikonfog; städning</v>
      </c>
      <c r="Q19" t="str">
        <v>Demontering av befintligt ytskikt ingår i rumsrivning (badrum_rivning); Specialmönster, mosaik eller bårder beräknas separat.</v>
      </c>
      <c r="R19" t="str">
        <v>Dennis-egen Wikells-byggdel 8.502</v>
      </c>
      <c r="S19" t="str">
        <v>Byggbitens byggdel baserat på Wikells 8.502, 2026-04-22</v>
      </c>
    </row>
    <row r="20">
      <c r="A20" t="str">
        <v>badrum_vagg_plastmatta</v>
      </c>
      <c r="B20" t="str">
        <v>Vägg</v>
      </c>
      <c r="C20" t="str">
        <v>Plastmatta på vägg</v>
      </c>
      <c r="D20" t="str">
        <v/>
      </c>
      <c r="E20" t="str">
        <v>kr/m² vägg</v>
      </c>
      <c r="F20">
        <v>1504</v>
      </c>
      <c r="G20" t="str">
        <v>Byggbiten</v>
      </c>
      <c r="H20" t="str">
        <v>8.503</v>
      </c>
      <c r="I20" t="str">
        <v/>
      </c>
      <c r="J20" t="str">
        <v/>
      </c>
      <c r="K20" t="str">
        <v/>
      </c>
      <c r="L20" t="str">
        <v/>
      </c>
      <c r="M20" t="str">
        <v>wallCalc</v>
      </c>
      <c r="N20" t="str">
        <v/>
      </c>
      <c r="O20" t="str">
        <v/>
      </c>
      <c r="P20" t="str">
        <v>Våtrumsklassad väggmatta; Limning; Värmesvetsade skarvar; Anslutning mot golvmatta</v>
      </c>
      <c r="Q20" t="str">
        <v>Demontering av befintligt ytskikt ingår i rumsrivning (badrum_rivning); Separat tätskiktsinsats — matta fungerar som tätskikt</v>
      </c>
      <c r="R20" t="str">
        <v>Dennis-egen Wikells-byggdel 8.503</v>
      </c>
      <c r="S20" t="str">
        <v/>
      </c>
    </row>
    <row r="21">
      <c r="A21" t="str">
        <v>badrum_vagg_farg</v>
      </c>
      <c r="B21" t="str">
        <v>Vägg</v>
      </c>
      <c r="C21" t="str">
        <v>Våtrumsfärg på vägg</v>
      </c>
      <c r="D21" t="str">
        <v/>
      </c>
      <c r="E21" t="str">
        <v>kr/m² vägg</v>
      </c>
      <c r="F21">
        <v>1310</v>
      </c>
      <c r="G21" t="str">
        <v>Byggbiten</v>
      </c>
      <c r="H21" t="str">
        <v>8.504</v>
      </c>
      <c r="I21" t="str">
        <v/>
      </c>
      <c r="J21" t="str">
        <v/>
      </c>
      <c r="K21" t="str">
        <v/>
      </c>
      <c r="L21" t="str">
        <v/>
      </c>
      <c r="M21" t="str">
        <v>wallCalc</v>
      </c>
      <c r="N21" t="str">
        <v/>
      </c>
      <c r="O21" t="str">
        <v/>
      </c>
      <c r="P21" t="str">
        <v>Cementbaserat folieförstärkt tätskikt; Grundning; 2 strykningar våtrumsfärg; Fog vid anslutningar</v>
      </c>
      <c r="Q21" t="str">
        <v>Demontering av befintligt ytskikt ingår i rumsrivning (badrum_rivning); Underbehandling av grava skador (offereras separat); Färgval utöver standard vit</v>
      </c>
      <c r="R21" t="str">
        <v>Byggbiten-kalibrerad byggdel 8.504</v>
      </c>
      <c r="S21" t="str">
        <v/>
      </c>
    </row>
    <row r="22">
      <c r="A22" t="str">
        <v>badrum_dorr</v>
      </c>
      <c r="B22" t="str">
        <v>Dörr</v>
      </c>
      <c r="C22" t="str">
        <v>Våtrumsdörr (målad trä)</v>
      </c>
      <c r="D22" t="str">
        <v>Toalettinnerdörr 9x21 målad</v>
      </c>
      <c r="E22" t="str">
        <v>kr/st</v>
      </c>
      <c r="F22">
        <v>4655</v>
      </c>
      <c r="G22" t="str">
        <v>Wikells</v>
      </c>
      <c r="H22" t="str">
        <v>16.059</v>
      </c>
      <c r="I22" t="str">
        <v/>
      </c>
      <c r="J22" t="str">
        <v/>
      </c>
      <c r="K22" t="str">
        <v/>
      </c>
      <c r="L22" t="str">
        <v/>
      </c>
      <c r="M22" t="str">
        <v>hasCount</v>
      </c>
      <c r="N22" t="str">
        <v/>
      </c>
      <c r="O22" t="str">
        <v>9x21 målad lättdörr; Foder, 12x43 vitmålad; Badrumströskel av ek; WC-behör; Trycke av metall</v>
      </c>
      <c r="P22" t="str">
        <v>Standard toalettinnerdörr trä; Målad vit; Karmset; Trycke + beslag; Montering</v>
      </c>
      <c r="Q22" t="str">
        <v>PP-laminerad våtrumsdörr (offereras separat på begäran); Extra ljud-/säkerhetsklassning</v>
      </c>
      <c r="R22" t="str">
        <v>Wikells byggdel 16.059 (Byggbitens default — PP-laminerad 16.070 offereras separat)</v>
      </c>
      <c r="S22" t="str">
        <v>Summa av 5 artiklar, se Flik 4</v>
      </c>
    </row>
    <row r="23">
      <c r="A23" t="str">
        <v>badrum_ue_el</v>
      </c>
      <c r="B23" t="str">
        <v>UE</v>
      </c>
      <c r="C23" t="str">
        <v>El-installation badrum</v>
      </c>
      <c r="D23" t="str">
        <v/>
      </c>
      <c r="E23" t="str">
        <v>kr/st</v>
      </c>
      <c r="F23">
        <v>20000</v>
      </c>
      <c r="G23" t="str">
        <v>Byggbiten</v>
      </c>
      <c r="H23" t="str">
        <v/>
      </c>
      <c r="I23" t="str">
        <v/>
      </c>
      <c r="J23" t="str">
        <v/>
      </c>
      <c r="K23" t="str">
        <v/>
      </c>
      <c r="L23" t="str">
        <v/>
      </c>
      <c r="M23" t="str">
        <v>hasCount</v>
      </c>
      <c r="N23" t="str">
        <v/>
      </c>
      <c r="O23" t="str">
        <v/>
      </c>
      <c r="P23" t="str">
        <v>Elgolvvärme (matta + termostat); Belysning — spottar i tak; Inkoppling badrumsskåp med belysning; Brytare; Eluttag (inkl uttag vid spegel för hårtork etc); Besiktningsintyg</v>
      </c>
      <c r="Q23" t="str">
        <v>Byte av hela elcentralen (offereras separat); Extra uttag utöver standard</v>
      </c>
      <c r="R23" t="str">
        <v>Byggbiten UE-schablon</v>
      </c>
      <c r="S23" t="str">
        <v>Schablonpris från El-UE. Placeholder 20 000 — Dennis återkommer med exakt pris. Dennis beslut 2026-04-22.</v>
      </c>
      <c r="T23" t="str">
        <v>UE-El</v>
      </c>
    </row>
    <row r="24">
      <c r="A24" t="str">
        <v>badrum_ue_vs</v>
      </c>
      <c r="B24" t="str">
        <v>UE</v>
      </c>
      <c r="C24" t="str">
        <v>Badrumsinredning inkl VVS-installation</v>
      </c>
      <c r="D24" t="str">
        <v/>
      </c>
      <c r="E24" t="str">
        <v>kr/st</v>
      </c>
      <c r="F24">
        <v>40000</v>
      </c>
      <c r="G24" t="str">
        <v>Byggbiten</v>
      </c>
      <c r="H24" t="str">
        <v/>
      </c>
      <c r="I24" t="str">
        <v/>
      </c>
      <c r="J24" t="str">
        <v/>
      </c>
      <c r="K24" t="str">
        <v/>
      </c>
      <c r="L24" t="str">
        <v/>
      </c>
      <c r="M24" t="str">
        <v>hasCount</v>
      </c>
      <c r="N24" t="str">
        <v/>
      </c>
      <c r="O24" t="str">
        <v/>
      </c>
      <c r="P24" t="str">
        <v>WC-stol; Kommod med tvättställ; Blandare till kommod; Duschvägg; Duschblandare; Golvbrunn + avlopp; Provtryckning + besiktning; Montage och installation</v>
      </c>
      <c r="Q24" t="str">
        <v>Byte av stammar (offereras separat); Flytt av avloppsstammar i badrumsgolv</v>
      </c>
      <c r="R24" t="str">
        <v>Byggbiten UE-schablon</v>
      </c>
      <c r="S24" t="str">
        <v>Schablonpris från VVS-UE. Ersätter Wikells 17.032 + 17.034. Dennis beslut 2026-04-22.</v>
      </c>
      <c r="T24" t="str">
        <v>UE-VS</v>
      </c>
    </row>
    <row r="25">
      <c r="A25" t="str">
        <v>vagg_kakel</v>
      </c>
      <c r="B25" t="str">
        <v>Vägg</v>
      </c>
      <c r="C25" t="str">
        <v>Vägg kakel</v>
      </c>
      <c r="D25" t="str">
        <v>Kakel på vägg</v>
      </c>
      <c r="E25" t="str">
        <v>kr/m² vägg</v>
      </c>
      <c r="F25">
        <v>1483</v>
      </c>
      <c r="G25" t="str">
        <v>Wikells</v>
      </c>
      <c r="H25" t="str">
        <v>15.027</v>
      </c>
      <c r="I25" t="str">
        <v/>
      </c>
      <c r="J25" t="str">
        <v/>
      </c>
      <c r="K25" t="str">
        <v/>
      </c>
      <c r="L25" t="str">
        <v/>
      </c>
      <c r="M25" t="str">
        <v>wallCalc</v>
      </c>
      <c r="N25" t="str">
        <v/>
      </c>
      <c r="O25" t="str">
        <v>Kakelplattor, 150x150 färgade; Fuktskydd typ tätduk</v>
      </c>
      <c r="P25" t="str">
        <v>Fästmassa; Montering av standardformat (15×15 eller 20×20); Vanlig vit fog; Silikonfog mot angränsande ytor</v>
      </c>
      <c r="Q25" t="str">
        <v>Demontering av gammal beklädnad (offereras separat); Tätskikt (gäller ej toalett utan våtrumsinstallation); Specialmönster/mosaik</v>
      </c>
      <c r="R25" t="str">
        <v>Wikells byggdel 15.027</v>
      </c>
      <c r="S25" t="str">
        <v>Enligt Wikells 15.027. Dennis beslut 2026-04-22.</v>
      </c>
    </row>
    <row r="26">
      <c r="A26" t="str">
        <v>porslin</v>
      </c>
      <c r="B26" t="str">
        <v>Tillval</v>
      </c>
      <c r="C26" t="str">
        <v>Porslin (wc-stol)</v>
      </c>
      <c r="D26" t="str">
        <v/>
      </c>
      <c r="E26" t="str">
        <v>kr/st</v>
      </c>
      <c r="F26">
        <v>8600</v>
      </c>
      <c r="G26" t="str">
        <v>Byggbiten</v>
      </c>
      <c r="H26" t="str">
        <v/>
      </c>
      <c r="I26" t="str">
        <v/>
      </c>
      <c r="J26" t="str">
        <v/>
      </c>
      <c r="K26" t="str">
        <v/>
      </c>
      <c r="L26" t="str">
        <v/>
      </c>
      <c r="M26" t="str">
        <v>hasCount</v>
      </c>
      <c r="N26" t="str">
        <v/>
      </c>
      <c r="O26" t="str">
        <v/>
      </c>
      <c r="P26" t="str">
        <v>Ny WC-stol inkl sits; montage; silikonfog mot golvet; anslutning till befintligt avlopp.</v>
      </c>
      <c r="Q26" t="str">
        <v/>
      </c>
      <c r="R26" t="str">
        <v/>
      </c>
      <c r="S26" t="str">
        <v/>
      </c>
    </row>
    <row r="27">
      <c r="A27" t="str">
        <v>balkongdorr_malning</v>
      </c>
      <c r="B27" t="str">
        <v>Tillval</v>
      </c>
      <c r="C27" t="str">
        <v>Måla befintlig balkongdörr</v>
      </c>
      <c r="D27" t="str">
        <v/>
      </c>
      <c r="E27" t="str">
        <v>kr/st</v>
      </c>
      <c r="F27">
        <v>1500</v>
      </c>
      <c r="G27" t="str">
        <v>Placeholder</v>
      </c>
      <c r="H27" t="str">
        <v/>
      </c>
      <c r="I27" t="str">
        <v/>
      </c>
      <c r="J27" t="str">
        <v/>
      </c>
      <c r="K27" t="str">
        <v/>
      </c>
      <c r="L27" t="str">
        <v/>
      </c>
      <c r="M27" t="str">
        <v>hasCount, placeholder</v>
      </c>
      <c r="N27" t="str">
        <v/>
      </c>
      <c r="O27" t="str">
        <v/>
      </c>
      <c r="P27" t="str">
        <v>Målning av befintlig balkongdörr — slipning; grundning; 2 strykningar. Specificeras vid offert.</v>
      </c>
      <c r="Q27" t="str">
        <v/>
      </c>
      <c r="R27" t="str">
        <v/>
      </c>
      <c r="S27" t="str">
        <v/>
      </c>
    </row>
    <row r="28">
      <c r="A28" t="str">
        <v>balkongdorr_ny</v>
      </c>
      <c r="B28" t="str">
        <v>Tillval</v>
      </c>
      <c r="C28" t="str">
        <v>Ny balkongdörr komplett</v>
      </c>
      <c r="D28" t="str">
        <v/>
      </c>
      <c r="E28" t="str">
        <v>kr/st</v>
      </c>
      <c r="F28">
        <v>18000</v>
      </c>
      <c r="G28" t="str">
        <v>Placeholder</v>
      </c>
      <c r="H28" t="str">
        <v/>
      </c>
      <c r="I28" t="str">
        <v/>
      </c>
      <c r="J28" t="str">
        <v/>
      </c>
      <c r="K28" t="str">
        <v/>
      </c>
      <c r="L28" t="str">
        <v/>
      </c>
      <c r="M28" t="str">
        <v>hasCount, placeholder</v>
      </c>
      <c r="N28" t="str">
        <v/>
      </c>
      <c r="O28" t="str">
        <v/>
      </c>
      <c r="P28" t="str">
        <v>Ny balkongdörr inkl karm; handtag och montage. Specificeras vid offert.</v>
      </c>
      <c r="Q28" t="str">
        <v/>
      </c>
      <c r="R28" t="str">
        <v/>
      </c>
      <c r="S28" t="str">
        <v/>
      </c>
    </row>
    <row r="29">
      <c r="A29" t="str">
        <v>taklampa</v>
      </c>
      <c r="B29" t="str">
        <v>Tillval</v>
      </c>
      <c r="C29" t="str">
        <v>Byte av taklampa / fast ljuspunkt</v>
      </c>
      <c r="D29" t="str">
        <v/>
      </c>
      <c r="E29" t="str">
        <v>kr/st</v>
      </c>
      <c r="F29">
        <v>1200</v>
      </c>
      <c r="G29" t="str">
        <v>Placeholder</v>
      </c>
      <c r="H29" t="str">
        <v/>
      </c>
      <c r="I29" t="str">
        <v/>
      </c>
      <c r="J29" t="str">
        <v/>
      </c>
      <c r="K29" t="str">
        <v/>
      </c>
      <c r="L29" t="str">
        <v/>
      </c>
      <c r="M29" t="str">
        <v>hasCount, placeholder</v>
      </c>
      <c r="N29" t="str">
        <v/>
      </c>
      <c r="O29" t="str">
        <v/>
      </c>
      <c r="P29" t="str">
        <v>Byte av taklampa / fast ljuspunkt inkl inkoppling. Specificeras vid offert.</v>
      </c>
      <c r="Q29" t="str">
        <v/>
      </c>
      <c r="R29" t="str">
        <v/>
      </c>
      <c r="S29" t="str">
        <v/>
      </c>
    </row>
    <row r="30">
      <c r="A30" t="str">
        <v>eluttag</v>
      </c>
      <c r="B30" t="str">
        <v>Tillval</v>
      </c>
      <c r="C30" t="str">
        <v>Byte av eluttag</v>
      </c>
      <c r="D30" t="str">
        <v/>
      </c>
      <c r="E30" t="str">
        <v>kr/st</v>
      </c>
      <c r="F30">
        <v>600</v>
      </c>
      <c r="G30" t="str">
        <v>Placeholder</v>
      </c>
      <c r="H30" t="str">
        <v/>
      </c>
      <c r="I30" t="str">
        <v/>
      </c>
      <c r="J30" t="str">
        <v/>
      </c>
      <c r="K30" t="str">
        <v/>
      </c>
      <c r="L30" t="str">
        <v/>
      </c>
      <c r="M30" t="str">
        <v>hasCount, placeholder</v>
      </c>
      <c r="N30" t="str">
        <v/>
      </c>
      <c r="O30" t="str">
        <v/>
      </c>
      <c r="P30" t="str">
        <v>Byte av eluttag inkl inkoppling. Specificeras vid offert.</v>
      </c>
      <c r="Q30" t="str">
        <v/>
      </c>
      <c r="R30" t="str">
        <v/>
      </c>
      <c r="S30" t="str">
        <v/>
      </c>
    </row>
    <row r="31">
      <c r="A31" t="str">
        <v>strombrytare</v>
      </c>
      <c r="B31" t="str">
        <v>Tillval</v>
      </c>
      <c r="C31" t="str">
        <v>Byte av strömbrytare</v>
      </c>
      <c r="D31" t="str">
        <v/>
      </c>
      <c r="E31" t="str">
        <v>kr/st</v>
      </c>
      <c r="F31">
        <v>500</v>
      </c>
      <c r="G31" t="str">
        <v>Placeholder</v>
      </c>
      <c r="H31" t="str">
        <v/>
      </c>
      <c r="I31" t="str">
        <v/>
      </c>
      <c r="J31" t="str">
        <v/>
      </c>
      <c r="K31" t="str">
        <v/>
      </c>
      <c r="L31" t="str">
        <v/>
      </c>
      <c r="M31" t="str">
        <v>hasCount, placeholder</v>
      </c>
      <c r="N31" t="str">
        <v/>
      </c>
      <c r="O31" t="str">
        <v/>
      </c>
      <c r="P31" t="str">
        <v>Byte av strömbrytare inkl inkoppling. Specificeras vid offert.</v>
      </c>
      <c r="Q31" t="str">
        <v/>
      </c>
      <c r="R31" t="str">
        <v/>
      </c>
      <c r="S31" t="str">
        <v/>
      </c>
    </row>
    <row r="32">
      <c r="A32" t="str">
        <v>radiator</v>
      </c>
      <c r="B32" t="str">
        <v>Tillval</v>
      </c>
      <c r="C32" t="str">
        <v>Byte av radiator / element</v>
      </c>
      <c r="D32" t="str">
        <v/>
      </c>
      <c r="E32" t="str">
        <v>kr/st</v>
      </c>
      <c r="F32">
        <v>7500</v>
      </c>
      <c r="G32" t="str">
        <v>Placeholder</v>
      </c>
      <c r="H32" t="str">
        <v/>
      </c>
      <c r="I32" t="str">
        <v/>
      </c>
      <c r="J32" t="str">
        <v/>
      </c>
      <c r="K32" t="str">
        <v/>
      </c>
      <c r="L32" t="str">
        <v/>
      </c>
      <c r="M32" t="str">
        <v>hasCount, placeholder</v>
      </c>
      <c r="N32" t="str">
        <v/>
      </c>
      <c r="O32" t="str">
        <v/>
      </c>
      <c r="P32" t="str">
        <v>Byte av radiator inkl inkoppling. Specificeras vid offert.</v>
      </c>
      <c r="Q32" t="str">
        <v/>
      </c>
      <c r="R32" t="str">
        <v/>
      </c>
      <c r="S32" t="str">
        <v/>
      </c>
    </row>
    <row r="33">
      <c r="A33" t="str">
        <v>dorrhandtag</v>
      </c>
      <c r="B33" t="str">
        <v>Tillval</v>
      </c>
      <c r="C33" t="str">
        <v>Dörrhandtag (uppgradering)</v>
      </c>
      <c r="D33" t="str">
        <v/>
      </c>
      <c r="E33" t="str">
        <v>kr/st</v>
      </c>
      <c r="F33">
        <v>950</v>
      </c>
      <c r="G33" t="str">
        <v>Placeholder</v>
      </c>
      <c r="H33" t="str">
        <v/>
      </c>
      <c r="I33" t="str">
        <v/>
      </c>
      <c r="J33" t="str">
        <v/>
      </c>
      <c r="K33" t="str">
        <v/>
      </c>
      <c r="L33" t="str">
        <v/>
      </c>
      <c r="M33" t="str">
        <v>hasCount, placeholder</v>
      </c>
      <c r="N33" t="str">
        <v/>
      </c>
      <c r="O33" t="str">
        <v/>
      </c>
      <c r="P33" t="str">
        <v>Byte av dörrhandtag. Specificeras vid offert.</v>
      </c>
      <c r="Q33" t="str">
        <v/>
      </c>
      <c r="R33" t="str">
        <v/>
      </c>
      <c r="S33" t="str">
        <v/>
      </c>
    </row>
    <row r="34">
      <c r="A34" t="str">
        <v>slutstad</v>
      </c>
      <c r="B34" t="str">
        <v>Tillval</v>
      </c>
      <c r="C34" t="str">
        <v>Slutstäd efter renovering</v>
      </c>
      <c r="D34" t="str">
        <v/>
      </c>
      <c r="E34" t="str">
        <v>kr/st</v>
      </c>
      <c r="F34">
        <v>5000</v>
      </c>
      <c r="G34" t="str">
        <v>Placeholder</v>
      </c>
      <c r="H34" t="str">
        <v/>
      </c>
      <c r="I34" t="str">
        <v/>
      </c>
      <c r="J34" t="str">
        <v/>
      </c>
      <c r="K34" t="str">
        <v/>
      </c>
      <c r="L34" t="str">
        <v/>
      </c>
      <c r="M34" t="str">
        <v>hasCount, placeholder</v>
      </c>
      <c r="N34" t="str">
        <v/>
      </c>
      <c r="O34" t="str">
        <v/>
      </c>
      <c r="P34" t="str">
        <v>Slutstädning efter renovering. Specificeras vid offert.</v>
      </c>
      <c r="Q34" t="str">
        <v/>
      </c>
      <c r="R34" t="str">
        <v/>
      </c>
      <c r="S34" t="str">
        <v/>
      </c>
    </row>
    <row r="35">
      <c r="A35" t="str">
        <v>golv_ekparkett__rivning</v>
      </c>
      <c r="B35" t="str">
        <v>Rivning</v>
      </c>
      <c r="C35" t="str">
        <v>inkl. rivning av befintligt golv</v>
      </c>
      <c r="D35" t="str">
        <v/>
      </c>
      <c r="E35" t="str">
        <v>kr/m²</v>
      </c>
      <c r="F35">
        <v>95</v>
      </c>
      <c r="G35" t="str">
        <v>Byggbiten</v>
      </c>
      <c r="H35" t="str">
        <v/>
      </c>
      <c r="I35" t="str">
        <v/>
      </c>
      <c r="J35" t="str">
        <v/>
      </c>
      <c r="K35" t="str">
        <v/>
      </c>
      <c r="L35" t="str">
        <v/>
      </c>
      <c r="M35" t="str">
        <v>inheritsReducesFloor</v>
      </c>
      <c r="N35" t="str">
        <v/>
      </c>
      <c r="O35" t="str">
        <v/>
      </c>
      <c r="P35" t="str">
        <v>Demontering av ytskikt; utbäring till container; lokal sopning</v>
      </c>
      <c r="Q35" t="str">
        <v/>
      </c>
      <c r="R35" t="str">
        <v/>
      </c>
      <c r="S35" t="str">
        <v/>
      </c>
    </row>
    <row r="36">
      <c r="A36" t="str">
        <v>golv_ekparkett__spackling</v>
      </c>
      <c r="B36" t="str">
        <v>Förberedelse</v>
      </c>
      <c r="C36" t="str">
        <v>inkl. flytspackling undergolv</v>
      </c>
      <c r="D36" t="str">
        <v/>
      </c>
      <c r="E36" t="str">
        <v>kr/m²</v>
      </c>
      <c r="F36">
        <v>187</v>
      </c>
      <c r="G36" t="str">
        <v>Byggbiten</v>
      </c>
      <c r="H36" t="str">
        <v/>
      </c>
      <c r="I36" t="str">
        <v/>
      </c>
      <c r="J36" t="str">
        <v/>
      </c>
      <c r="K36" t="str">
        <v/>
      </c>
      <c r="L36" t="str">
        <v/>
      </c>
      <c r="M36" t="str">
        <v>inheritsReducesFloor</v>
      </c>
      <c r="N36" t="str">
        <v/>
      </c>
      <c r="O36" t="str">
        <v/>
      </c>
      <c r="P36" t="str">
        <v>Spackling av ojämnheter i underlag; slipning; dammsugning — förbereder ytan för nytt ytskikt</v>
      </c>
      <c r="Q36" t="str">
        <v/>
      </c>
      <c r="R36" t="str">
        <v/>
      </c>
      <c r="S36" t="str">
        <v/>
      </c>
    </row>
    <row r="37">
      <c r="A37" t="str">
        <v>golv_klickvinyl__rivning</v>
      </c>
      <c r="B37" t="str">
        <v>Rivning</v>
      </c>
      <c r="C37" t="str">
        <v>inkl. rivning av befintligt golv</v>
      </c>
      <c r="D37" t="str">
        <v/>
      </c>
      <c r="E37" t="str">
        <v>kr/m²</v>
      </c>
      <c r="F37">
        <v>95</v>
      </c>
      <c r="G37" t="str">
        <v>Byggbiten</v>
      </c>
      <c r="H37" t="str">
        <v/>
      </c>
      <c r="I37" t="str">
        <v/>
      </c>
      <c r="J37" t="str">
        <v/>
      </c>
      <c r="K37" t="str">
        <v/>
      </c>
      <c r="L37" t="str">
        <v/>
      </c>
      <c r="M37" t="str">
        <v>inheritsReducesFloor</v>
      </c>
      <c r="N37" t="str">
        <v/>
      </c>
      <c r="O37" t="str">
        <v/>
      </c>
      <c r="P37" t="str">
        <v>Demontering av ytskikt; utbäring till container; lokal sopning</v>
      </c>
      <c r="Q37" t="str">
        <v/>
      </c>
      <c r="R37" t="str">
        <v/>
      </c>
      <c r="S37" t="str">
        <v/>
      </c>
    </row>
    <row r="38">
      <c r="A38" t="str">
        <v>golv_klickvinyl__spackling</v>
      </c>
      <c r="B38" t="str">
        <v>Förberedelse</v>
      </c>
      <c r="C38" t="str">
        <v>inkl. flytspackling undergolv</v>
      </c>
      <c r="D38" t="str">
        <v/>
      </c>
      <c r="E38" t="str">
        <v>kr/m²</v>
      </c>
      <c r="F38">
        <v>187</v>
      </c>
      <c r="G38" t="str">
        <v>Byggbiten</v>
      </c>
      <c r="H38" t="str">
        <v/>
      </c>
      <c r="I38" t="str">
        <v/>
      </c>
      <c r="J38" t="str">
        <v/>
      </c>
      <c r="K38" t="str">
        <v/>
      </c>
      <c r="L38" t="str">
        <v/>
      </c>
      <c r="M38" t="str">
        <v>inheritsReducesFloor</v>
      </c>
      <c r="N38" t="str">
        <v/>
      </c>
      <c r="O38" t="str">
        <v/>
      </c>
      <c r="P38" t="str">
        <v>Spackling av ojämnheter i underlag; slipning; dammsugning — förbereder ytan för nytt ytskikt</v>
      </c>
      <c r="Q38" t="str">
        <v/>
      </c>
      <c r="R38" t="str">
        <v/>
      </c>
      <c r="S38" t="str">
        <v/>
      </c>
    </row>
    <row r="39">
      <c r="A39" t="str">
        <v>golv_matta__rivning</v>
      </c>
      <c r="B39" t="str">
        <v>Rivning</v>
      </c>
      <c r="C39" t="str">
        <v>inkl. rivning av befintligt golv</v>
      </c>
      <c r="D39" t="str">
        <v/>
      </c>
      <c r="E39" t="str">
        <v>kr/m²</v>
      </c>
      <c r="F39">
        <v>95</v>
      </c>
      <c r="G39" t="str">
        <v>Byggbiten</v>
      </c>
      <c r="H39" t="str">
        <v/>
      </c>
      <c r="I39" t="str">
        <v/>
      </c>
      <c r="J39" t="str">
        <v/>
      </c>
      <c r="K39" t="str">
        <v/>
      </c>
      <c r="L39" t="str">
        <v/>
      </c>
      <c r="M39" t="str">
        <v>inheritsReducesFloor</v>
      </c>
      <c r="N39" t="str">
        <v/>
      </c>
      <c r="O39" t="str">
        <v/>
      </c>
      <c r="P39" t="str">
        <v>Demontering av ytskikt; utbäring till container; lokal sopning</v>
      </c>
      <c r="Q39" t="str">
        <v/>
      </c>
      <c r="R39" t="str">
        <v/>
      </c>
      <c r="S39" t="str">
        <v/>
      </c>
    </row>
    <row r="40">
      <c r="A40" t="str">
        <v>golv_matta__spackling</v>
      </c>
      <c r="B40" t="str">
        <v>Förberedelse</v>
      </c>
      <c r="C40" t="str">
        <v>inkl. flytspackling undergolv</v>
      </c>
      <c r="D40" t="str">
        <v/>
      </c>
      <c r="E40" t="str">
        <v>kr/m²</v>
      </c>
      <c r="F40">
        <v>187</v>
      </c>
      <c r="G40" t="str">
        <v>Byggbiten</v>
      </c>
      <c r="H40" t="str">
        <v/>
      </c>
      <c r="I40" t="str">
        <v/>
      </c>
      <c r="J40" t="str">
        <v/>
      </c>
      <c r="K40" t="str">
        <v/>
      </c>
      <c r="L40" t="str">
        <v/>
      </c>
      <c r="M40" t="str">
        <v>inheritsReducesFloor</v>
      </c>
      <c r="N40" t="str">
        <v/>
      </c>
      <c r="O40" t="str">
        <v/>
      </c>
      <c r="P40" t="str">
        <v>Spackling av ojämnheter i underlag; slipning; dammsugning — förbereder ytan för nytt ytskikt</v>
      </c>
      <c r="Q40" t="str">
        <v/>
      </c>
      <c r="R40" t="str">
        <v/>
      </c>
      <c r="S40" t="str">
        <v/>
      </c>
    </row>
    <row r="41">
      <c r="A41" t="str">
        <v>golv_klinker__rivning</v>
      </c>
      <c r="B41" t="str">
        <v>Rivning</v>
      </c>
      <c r="C41" t="str">
        <v>inkl. rivning av befintligt golv</v>
      </c>
      <c r="D41" t="str">
        <v/>
      </c>
      <c r="E41" t="str">
        <v>kr/m²</v>
      </c>
      <c r="F41">
        <v>95</v>
      </c>
      <c r="G41" t="str">
        <v>Byggbiten</v>
      </c>
      <c r="H41" t="str">
        <v/>
      </c>
      <c r="I41" t="str">
        <v/>
      </c>
      <c r="J41" t="str">
        <v/>
      </c>
      <c r="K41" t="str">
        <v/>
      </c>
      <c r="L41" t="str">
        <v/>
      </c>
      <c r="M41" t="str">
        <v>inheritsReducesFloor</v>
      </c>
      <c r="N41" t="str">
        <v/>
      </c>
      <c r="O41" t="str">
        <v/>
      </c>
      <c r="P41" t="str">
        <v>Demontering av ytskikt; utbäring till container; lokal sopning</v>
      </c>
      <c r="Q41" t="str">
        <v/>
      </c>
      <c r="R41" t="str">
        <v/>
      </c>
      <c r="S41" t="str">
        <v/>
      </c>
    </row>
    <row r="42">
      <c r="A42" t="str">
        <v>golv_klinker__spackling</v>
      </c>
      <c r="B42" t="str">
        <v>Förberedelse</v>
      </c>
      <c r="C42" t="str">
        <v>inkl. flytspackling undergolv</v>
      </c>
      <c r="D42" t="str">
        <v/>
      </c>
      <c r="E42" t="str">
        <v>kr/m²</v>
      </c>
      <c r="F42">
        <v>187</v>
      </c>
      <c r="G42" t="str">
        <v>Byggbiten</v>
      </c>
      <c r="H42" t="str">
        <v/>
      </c>
      <c r="I42" t="str">
        <v/>
      </c>
      <c r="J42" t="str">
        <v/>
      </c>
      <c r="K42" t="str">
        <v/>
      </c>
      <c r="L42" t="str">
        <v/>
      </c>
      <c r="M42" t="str">
        <v>inheritsReducesFloor</v>
      </c>
      <c r="N42" t="str">
        <v/>
      </c>
      <c r="O42" t="str">
        <v/>
      </c>
      <c r="P42" t="str">
        <v>Spackling av ojämnheter i underlag; slipning; dammsugning — förbereder ytan för nytt ytskikt</v>
      </c>
      <c r="Q42" t="str">
        <v/>
      </c>
      <c r="R42" t="str">
        <v/>
      </c>
      <c r="S42" t="str">
        <v/>
      </c>
    </row>
    <row r="43">
      <c r="A43" t="str">
        <v>entre_klinker__rivning</v>
      </c>
      <c r="B43" t="str">
        <v>Rivning</v>
      </c>
      <c r="C43" t="str">
        <v>inkl. rivning av befintligt golv</v>
      </c>
      <c r="D43" t="str">
        <v/>
      </c>
      <c r="E43" t="str">
        <v>kr/m²</v>
      </c>
      <c r="F43">
        <v>95</v>
      </c>
      <c r="G43" t="str">
        <v>Byggbiten</v>
      </c>
      <c r="H43" t="str">
        <v/>
      </c>
      <c r="I43" t="str">
        <v/>
      </c>
      <c r="J43" t="str">
        <v/>
      </c>
      <c r="K43" t="str">
        <v/>
      </c>
      <c r="L43" t="str">
        <v/>
      </c>
      <c r="M43" t="str">
        <v>inheritsParentArea</v>
      </c>
      <c r="N43" t="str">
        <v/>
      </c>
      <c r="O43" t="str">
        <v/>
      </c>
      <c r="P43" t="str">
        <v>Demontering av ytskikt; utbäring till container; lokal sopning</v>
      </c>
      <c r="Q43" t="str">
        <v/>
      </c>
      <c r="R43" t="str">
        <v/>
      </c>
      <c r="S43" t="str">
        <v/>
      </c>
    </row>
    <row r="44">
      <c r="A44" t="str">
        <v>entre_klinker__spackling</v>
      </c>
      <c r="B44" t="str">
        <v>Förberedelse</v>
      </c>
      <c r="C44" t="str">
        <v>inkl. flytspackling undergolv</v>
      </c>
      <c r="D44" t="str">
        <v/>
      </c>
      <c r="E44" t="str">
        <v>kr/m²</v>
      </c>
      <c r="F44">
        <v>187</v>
      </c>
      <c r="G44" t="str">
        <v>Byggbiten</v>
      </c>
      <c r="H44" t="str">
        <v/>
      </c>
      <c r="I44" t="str">
        <v/>
      </c>
      <c r="J44" t="str">
        <v/>
      </c>
      <c r="K44" t="str">
        <v/>
      </c>
      <c r="L44" t="str">
        <v/>
      </c>
      <c r="M44" t="str">
        <v>inheritsParentArea</v>
      </c>
      <c r="N44" t="str">
        <v/>
      </c>
      <c r="O44" t="str">
        <v/>
      </c>
      <c r="P44" t="str">
        <v>Spackling av ojämnheter i underlag; slipning; dammsugning — förbereder ytan för nytt ytskikt</v>
      </c>
      <c r="Q44" t="str">
        <v/>
      </c>
      <c r="R44" t="str">
        <v/>
      </c>
      <c r="S44" t="str">
        <v/>
      </c>
    </row>
    <row r="45">
      <c r="A45" t="str">
        <v>skyddstackning</v>
      </c>
      <c r="B45" t="str">
        <v>Förberedelse</v>
      </c>
      <c r="C45" t="str">
        <v>Skyddstäckning</v>
      </c>
      <c r="D45" t="str">
        <v/>
      </c>
      <c r="E45" t="str">
        <v>schablon</v>
      </c>
      <c r="F45">
        <v>450</v>
      </c>
      <c r="G45" t="str">
        <v>Byggbiten</v>
      </c>
      <c r="H45" t="str">
        <v/>
      </c>
      <c r="I45" t="str">
        <v/>
      </c>
      <c r="J45" t="str">
        <v/>
      </c>
      <c r="K45" t="str">
        <v/>
      </c>
      <c r="L45" t="str">
        <v/>
      </c>
      <c r="M45" t="str">
        <v/>
      </c>
      <c r="N45" t="str">
        <v/>
      </c>
      <c r="O45" t="str">
        <v/>
      </c>
      <c r="P45" t="str">
        <v>Plastning av möbler, fönster och golv; Maskeringstejp vid övergångar; Borttagning efter slutfört arbete</v>
      </c>
      <c r="Q45" t="str">
        <v>Flyttning av möbler (annan post); Förvaring av möbler utanför lägenheten</v>
      </c>
      <c r="R45" t="str">
        <v>Byggbiten-schablon per rum</v>
      </c>
      <c r="S45" t="str">
        <v>Byggbiten schablon per rum. Wbr 14.017 räknas per m² — inte jämförbart.</v>
      </c>
    </row>
    <row r="46">
      <c r="A46" t="str">
        <v>badrum_rivning</v>
      </c>
      <c r="B46" t="str">
        <v>Rivning</v>
      </c>
      <c r="C46" t="str">
        <v>Rivning badrum inkl inredning</v>
      </c>
      <c r="D46" t="str">
        <v/>
      </c>
      <c r="E46" t="str">
        <v>kr/m²</v>
      </c>
      <c r="F46">
        <v>1200</v>
      </c>
      <c r="G46" t="str">
        <v>Byggbiten</v>
      </c>
      <c r="H46" t="str">
        <v/>
      </c>
      <c r="I46" t="str">
        <v/>
      </c>
      <c r="J46" t="str">
        <v/>
      </c>
      <c r="K46" t="str">
        <v/>
      </c>
      <c r="L46" t="str">
        <v/>
      </c>
      <c r="M46" t="str">
        <v/>
      </c>
      <c r="N46" t="str">
        <v/>
      </c>
      <c r="O46" t="str">
        <v/>
      </c>
      <c r="P46" t="str">
        <v>Demontering av klinker/plastmatta på golv och väggar; rivning av fallspackel; utbäring; lokal sopning. Bortforsling av container offereras separat.</v>
      </c>
      <c r="Q46" t="str">
        <v>Asbest eller PCB-sanering (offereras separat vid fynd); Rivning av bärande vägg; Demontering av stammar</v>
      </c>
      <c r="R46" t="str">
        <v>Byggbiten-schablon</v>
      </c>
      <c r="S46" t="str">
        <v>Byggbiten-schablon — inkl. rivning av inredning. Bredare scope än wbr 15.001 (bara klinker).</v>
      </c>
    </row>
    <row r="47">
      <c r="A47" t="str">
        <v>badrum_fallspackling</v>
      </c>
      <c r="B47" t="str">
        <v>Förberedelse</v>
      </c>
      <c r="C47" t="str">
        <v>Fallspackling våtrumsgolv</v>
      </c>
      <c r="D47" t="str">
        <v>Våtrumsspackling i fall</v>
      </c>
      <c r="E47" t="str">
        <v>kr/m²</v>
      </c>
      <c r="F47">
        <f>I47*L47 + J47*930 + K47*1.1</f>
        <v>2283</v>
      </c>
      <c r="G47" t="str">
        <v>Wikells</v>
      </c>
      <c r="H47" t="str">
        <v>15.013</v>
      </c>
      <c r="I47">
        <v>0</v>
      </c>
      <c r="J47">
        <v>0</v>
      </c>
      <c r="K47">
        <v>2075</v>
      </c>
      <c r="L47">
        <v>1</v>
      </c>
      <c r="M47" t="str">
        <v/>
      </c>
      <c r="N47" t="str">
        <v/>
      </c>
      <c r="O47" t="str">
        <v>30 armerat flytspackel i fall</v>
      </c>
      <c r="P47" t="str">
        <v>Primer på underlag; Flytspackel med fall 1:150 mot golvbrunn; Tork-tid innan tätskikt; Rengöring</v>
      </c>
      <c r="Q47" t="str">
        <v>Tätskikt (ingår i väggmaterial eller separat post); Lagning av underlag vid större ojämnheter</v>
      </c>
      <c r="R47" t="str">
        <v>Wikells byggdel 15.013</v>
      </c>
      <c r="S47" t="str">
        <v/>
      </c>
    </row>
    <row r="48">
      <c r="A48" t="str">
        <v>sockel</v>
      </c>
      <c r="B48" t="str">
        <v>Lister</v>
      </c>
      <c r="C48" t="str">
        <v>Sockel</v>
      </c>
      <c r="D48" t="str">
        <v>Socklar, målade</v>
      </c>
      <c r="E48" t="str">
        <v>kr/m</v>
      </c>
      <c r="F48">
        <f>I48*L48 + J48*930 + K48*1.10</f>
        <v>124.35</v>
      </c>
      <c r="G48" t="str">
        <v>Wikells</v>
      </c>
      <c r="H48" t="str">
        <v>8.132</v>
      </c>
      <c r="I48">
        <v>28.5</v>
      </c>
      <c r="J48">
        <v>0.1</v>
      </c>
      <c r="K48">
        <v>0</v>
      </c>
      <c r="L48">
        <v>1.1</v>
      </c>
      <c r="M48" t="str">
        <v>perimeterCalc</v>
      </c>
      <c r="N48" t="str">
        <v/>
      </c>
      <c r="O48" t="str">
        <v>Sockellist, 12x56 vitmålad</v>
      </c>
      <c r="P48" t="str">
        <v>Sockellist (vit); Montering; Kapning i hörn</v>
      </c>
      <c r="Q48" t="str">
        <v>Demontering av befintlig sockel; Specialbearbetning runt rörgenomföringar</v>
      </c>
      <c r="R48" t="str">
        <v>Wikells byggdel 8.132</v>
      </c>
      <c r="S48" t="str">
        <v/>
      </c>
    </row>
    <row r="49">
      <c r="A49" t="str">
        <v>taklist</v>
      </c>
      <c r="B49" t="str">
        <v>Lister</v>
      </c>
      <c r="C49" t="str">
        <v>Taklist</v>
      </c>
      <c r="D49" t="str">
        <v>Taklister, målade</v>
      </c>
      <c r="E49" t="str">
        <v>kr/m</v>
      </c>
      <c r="F49">
        <f>I49*L49 + J49*930 + K49*1.1</f>
        <v>132</v>
      </c>
      <c r="G49" t="str">
        <v>Wikells</v>
      </c>
      <c r="H49" t="str">
        <v>8.136</v>
      </c>
      <c r="I49">
        <v>29.7</v>
      </c>
      <c r="J49">
        <v>0.11</v>
      </c>
      <c r="K49">
        <v>0</v>
      </c>
      <c r="L49">
        <v>1</v>
      </c>
      <c r="M49" t="str">
        <v>perimeterCalc</v>
      </c>
      <c r="N49" t="str">
        <v/>
      </c>
      <c r="O49" t="str">
        <v>Taklist, 21x33 skugglist vitmålad</v>
      </c>
      <c r="P49" t="str">
        <v>Taklist (vit målad); Montering; Kapning i hörn</v>
      </c>
      <c r="Q49" t="str">
        <v>Demontering av befintlig taklist</v>
      </c>
      <c r="R49" t="str">
        <v>Wikells byggdel 8.136</v>
      </c>
      <c r="S49" t="str">
        <v/>
      </c>
    </row>
  </sheetData>
  <ignoredErrors>
    <ignoredError numberStoredAsText="1" sqref="A1:T49"/>
  </ignoredErrors>
</worksheet>
</file>

<file path=xl/worksheets/sheet2.xml><?xml version="1.0" encoding="utf-8"?>
<worksheet xmlns="http://schemas.openxmlformats.org/spreadsheetml/2006/main" xmlns:r="http://schemas.openxmlformats.org/officeDocument/2006/relationships">
  <dimension ref="A1:H9"/>
  <sheetViews>
    <sheetView workbookViewId="0" rightToLeft="0"/>
  </sheetViews>
  <sheetData>
    <row r="1">
      <c r="A1" t="str">
        <v>Rumstyp-ID</v>
      </c>
      <c r="B1" t="str">
        <v>Visningsnamn</v>
      </c>
      <c r="C1" t="str">
        <v>Default-yta (m²)</v>
      </c>
      <c r="D1" t="str">
        <v>Hide-area</v>
      </c>
      <c r="E1" t="str">
        <v>Typ</v>
      </c>
      <c r="F1" t="str">
        <v>Ikon-ID</v>
      </c>
      <c r="G1" t="str">
        <v>Ordning</v>
      </c>
      <c r="H1" t="str">
        <v>Anmärkning</v>
      </c>
    </row>
    <row r="2">
      <c r="A2" t="str">
        <v>vardagsrum</v>
      </c>
      <c r="B2" t="str">
        <v>Vardagsrum</v>
      </c>
      <c r="C2">
        <v>25</v>
      </c>
      <c r="D2" t="str">
        <v>nej</v>
      </c>
      <c r="E2" t="str">
        <v>per_post</v>
      </c>
      <c r="F2" t="str">
        <v>ICON_VARDAGSRUM</v>
      </c>
      <c r="G2">
        <v>10</v>
      </c>
      <c r="H2" t="str">
        <v/>
      </c>
    </row>
    <row r="3">
      <c r="A3" t="str">
        <v>sovrum</v>
      </c>
      <c r="B3" t="str">
        <v>Sovrum</v>
      </c>
      <c r="C3">
        <v>15</v>
      </c>
      <c r="D3" t="str">
        <v>nej</v>
      </c>
      <c r="E3" t="str">
        <v>per_post</v>
      </c>
      <c r="F3" t="str">
        <v>ICON_SOVRUM</v>
      </c>
      <c r="G3">
        <v>20</v>
      </c>
      <c r="H3" t="str">
        <v/>
      </c>
    </row>
    <row r="4">
      <c r="A4" t="str">
        <v>hall</v>
      </c>
      <c r="B4" t="str">
        <v>Korridor</v>
      </c>
      <c r="C4">
        <v>5</v>
      </c>
      <c r="D4" t="str">
        <v>nej</v>
      </c>
      <c r="E4" t="str">
        <v>per_post</v>
      </c>
      <c r="F4" t="str">
        <v>ICON_HALL</v>
      </c>
      <c r="G4">
        <v>30</v>
      </c>
      <c r="H4" t="str">
        <v/>
      </c>
    </row>
    <row r="5">
      <c r="A5" t="str">
        <v>entre</v>
      </c>
      <c r="B5" t="str">
        <v>Entré</v>
      </c>
      <c r="C5">
        <v>5</v>
      </c>
      <c r="D5" t="str">
        <v>nej</v>
      </c>
      <c r="E5" t="str">
        <v>per_post</v>
      </c>
      <c r="F5" t="str">
        <v>ICON_ENTRE</v>
      </c>
      <c r="G5">
        <v>40</v>
      </c>
      <c r="H5" t="str">
        <v/>
      </c>
    </row>
    <row r="6">
      <c r="A6" t="str">
        <v>kok</v>
      </c>
      <c r="B6" t="str">
        <v>Kök</v>
      </c>
      <c r="C6">
        <v>15</v>
      </c>
      <c r="D6" t="str">
        <v>nej</v>
      </c>
      <c r="E6" t="str">
        <v>per_post</v>
      </c>
      <c r="F6" t="str">
        <v>ICON_KOK</v>
      </c>
      <c r="G6">
        <v>50</v>
      </c>
      <c r="H6" t="str">
        <v/>
      </c>
    </row>
    <row r="7">
      <c r="A7" t="str">
        <v>badrum</v>
      </c>
      <c r="B7" t="str">
        <v>Badrum</v>
      </c>
      <c r="C7">
        <v>5</v>
      </c>
      <c r="D7" t="str">
        <v>nej</v>
      </c>
      <c r="E7" t="str">
        <v>per_post</v>
      </c>
      <c r="F7" t="str">
        <v>ICON_BADRUM</v>
      </c>
      <c r="G7">
        <v>60</v>
      </c>
      <c r="H7" t="str">
        <v/>
      </c>
    </row>
    <row r="8">
      <c r="A8" t="str">
        <v>toalett</v>
      </c>
      <c r="B8" t="str">
        <v>Toalett</v>
      </c>
      <c r="C8">
        <v>2</v>
      </c>
      <c r="D8" t="str">
        <v>nej</v>
      </c>
      <c r="E8" t="str">
        <v>per_post</v>
      </c>
      <c r="F8" t="str">
        <v>ICON_TOALETT</v>
      </c>
      <c r="G8">
        <v>70</v>
      </c>
      <c r="H8" t="str">
        <v/>
      </c>
    </row>
    <row r="9">
      <c r="A9" t="str">
        <v>ovrigt</v>
      </c>
      <c r="B9" t="str">
        <v>Övrigt</v>
      </c>
      <c r="C9" t="str">
        <v/>
      </c>
      <c r="D9" t="str">
        <v>ja</v>
      </c>
      <c r="E9" t="str">
        <v>per_post</v>
      </c>
      <c r="F9" t="str">
        <v>ICON_OVRIGT</v>
      </c>
      <c r="G9">
        <v>80</v>
      </c>
      <c r="H9" t="str">
        <v/>
      </c>
    </row>
  </sheetData>
  <ignoredErrors>
    <ignoredError numberStoredAsText="1" sqref="A1:H9"/>
  </ignoredErrors>
</worksheet>
</file>

<file path=xl/worksheets/sheet3.xml><?xml version="1.0" encoding="utf-8"?>
<worksheet xmlns="http://schemas.openxmlformats.org/spreadsheetml/2006/main" xmlns:r="http://schemas.openxmlformats.org/officeDocument/2006/relationships">
  <dimension ref="A1:M133"/>
  <sheetViews>
    <sheetView workbookViewId="0" rightToLeft="0"/>
  </sheetViews>
  <sheetData>
    <row r="1">
      <c r="A1" t="str">
        <v>Rumstyp-ID</v>
      </c>
      <c r="B1" t="str">
        <v>Post-ID</v>
      </c>
      <c r="C1" t="str">
        <v>Ordning</v>
      </c>
      <c r="D1" t="str">
        <v>Radio-grupp</v>
      </c>
      <c r="E1" t="str">
        <v>Std-vald</v>
      </c>
      <c r="F1" t="str">
        <v>Std-antal</v>
      </c>
      <c r="G1" t="str">
        <v>Std-area</v>
      </c>
      <c r="H1" t="str">
        <v>Följepost-typ</v>
      </c>
      <c r="I1" t="str">
        <v>Parent-Post-ID</v>
      </c>
      <c r="J1" t="str">
        <v>Trigger-Post-IDs</v>
      </c>
      <c r="K1" t="str">
        <v>Rendera i kategori</v>
      </c>
      <c r="L1" t="str">
        <v>Inherit reducesFloor</v>
      </c>
      <c r="M1" t="str">
        <v>Inherit parentArea</v>
      </c>
    </row>
    <row r="2">
      <c r="A2" t="str">
        <v>vardagsrum</v>
      </c>
      <c r="B2" t="str">
        <v>golv_ekparkett</v>
      </c>
      <c r="C2">
        <v>10</v>
      </c>
      <c r="D2" t="str">
        <v>golv</v>
      </c>
      <c r="E2" t="str">
        <v>nej</v>
      </c>
      <c r="F2" t="str">
        <v/>
      </c>
      <c r="G2" t="str">
        <v/>
      </c>
      <c r="H2" t="str">
        <v/>
      </c>
      <c r="I2" t="str">
        <v/>
      </c>
      <c r="J2" t="str">
        <v/>
      </c>
      <c r="K2" t="str">
        <v/>
      </c>
      <c r="L2" t="str">
        <v/>
      </c>
      <c r="M2" t="str">
        <v/>
      </c>
    </row>
    <row r="3">
      <c r="A3" t="str">
        <v>vardagsrum</v>
      </c>
      <c r="B3" t="str">
        <v>golv_ekparkett__rivning</v>
      </c>
      <c r="C3">
        <v>20</v>
      </c>
      <c r="D3" t="str">
        <v/>
      </c>
      <c r="E3" t="str">
        <v>ja</v>
      </c>
      <c r="F3" t="str">
        <v/>
      </c>
      <c r="G3" t="str">
        <v/>
      </c>
      <c r="H3" t="str">
        <v>A</v>
      </c>
      <c r="I3" t="str">
        <v>golv_ekparkett</v>
      </c>
      <c r="J3" t="str">
        <v/>
      </c>
      <c r="K3" t="str">
        <v/>
      </c>
      <c r="L3" t="str">
        <v>ja</v>
      </c>
      <c r="M3" t="str">
        <v>nej</v>
      </c>
    </row>
    <row r="4">
      <c r="A4" t="str">
        <v>vardagsrum</v>
      </c>
      <c r="B4" t="str">
        <v>golv_ekparkett__spackling</v>
      </c>
      <c r="C4">
        <v>21</v>
      </c>
      <c r="D4" t="str">
        <v/>
      </c>
      <c r="E4" t="str">
        <v>nej</v>
      </c>
      <c r="F4" t="str">
        <v/>
      </c>
      <c r="G4" t="str">
        <v/>
      </c>
      <c r="H4" t="str">
        <v>A</v>
      </c>
      <c r="I4" t="str">
        <v>golv_ekparkett</v>
      </c>
      <c r="J4" t="str">
        <v/>
      </c>
      <c r="K4" t="str">
        <v/>
      </c>
      <c r="L4" t="str">
        <v>ja</v>
      </c>
      <c r="M4" t="str">
        <v>nej</v>
      </c>
    </row>
    <row r="5">
      <c r="A5" t="str">
        <v>vardagsrum</v>
      </c>
      <c r="B5" t="str">
        <v>golv_klickvinyl</v>
      </c>
      <c r="C5">
        <v>30</v>
      </c>
      <c r="D5" t="str">
        <v>golv</v>
      </c>
      <c r="E5" t="str">
        <v>nej</v>
      </c>
      <c r="F5" t="str">
        <v/>
      </c>
      <c r="G5" t="str">
        <v/>
      </c>
      <c r="H5" t="str">
        <v/>
      </c>
      <c r="I5" t="str">
        <v/>
      </c>
      <c r="J5" t="str">
        <v/>
      </c>
      <c r="K5" t="str">
        <v/>
      </c>
      <c r="L5" t="str">
        <v/>
      </c>
      <c r="M5" t="str">
        <v/>
      </c>
    </row>
    <row r="6">
      <c r="A6" t="str">
        <v>vardagsrum</v>
      </c>
      <c r="B6" t="str">
        <v>golv_klickvinyl__rivning</v>
      </c>
      <c r="C6">
        <v>40</v>
      </c>
      <c r="D6" t="str">
        <v/>
      </c>
      <c r="E6" t="str">
        <v>ja</v>
      </c>
      <c r="F6" t="str">
        <v/>
      </c>
      <c r="G6" t="str">
        <v/>
      </c>
      <c r="H6" t="str">
        <v>A</v>
      </c>
      <c r="I6" t="str">
        <v>golv_klickvinyl</v>
      </c>
      <c r="J6" t="str">
        <v/>
      </c>
      <c r="K6" t="str">
        <v/>
      </c>
      <c r="L6" t="str">
        <v>ja</v>
      </c>
      <c r="M6" t="str">
        <v>nej</v>
      </c>
    </row>
    <row r="7">
      <c r="A7" t="str">
        <v>vardagsrum</v>
      </c>
      <c r="B7" t="str">
        <v>golv_klickvinyl__spackling</v>
      </c>
      <c r="C7">
        <v>41</v>
      </c>
      <c r="D7" t="str">
        <v/>
      </c>
      <c r="E7" t="str">
        <v>nej</v>
      </c>
      <c r="F7" t="str">
        <v/>
      </c>
      <c r="G7" t="str">
        <v/>
      </c>
      <c r="H7" t="str">
        <v>A</v>
      </c>
      <c r="I7" t="str">
        <v>golv_klickvinyl</v>
      </c>
      <c r="J7" t="str">
        <v/>
      </c>
      <c r="K7" t="str">
        <v/>
      </c>
      <c r="L7" t="str">
        <v>ja</v>
      </c>
      <c r="M7" t="str">
        <v>nej</v>
      </c>
    </row>
    <row r="8">
      <c r="A8" t="str">
        <v>vardagsrum</v>
      </c>
      <c r="B8" t="str">
        <v>golv_matta</v>
      </c>
      <c r="C8">
        <v>50</v>
      </c>
      <c r="D8" t="str">
        <v>golv</v>
      </c>
      <c r="E8" t="str">
        <v>nej</v>
      </c>
      <c r="F8" t="str">
        <v/>
      </c>
      <c r="G8" t="str">
        <v/>
      </c>
      <c r="H8" t="str">
        <v/>
      </c>
      <c r="I8" t="str">
        <v/>
      </c>
      <c r="J8" t="str">
        <v/>
      </c>
      <c r="K8" t="str">
        <v/>
      </c>
      <c r="L8" t="str">
        <v/>
      </c>
      <c r="M8" t="str">
        <v/>
      </c>
    </row>
    <row r="9">
      <c r="A9" t="str">
        <v>vardagsrum</v>
      </c>
      <c r="B9" t="str">
        <v>golv_matta__rivning</v>
      </c>
      <c r="C9">
        <v>60</v>
      </c>
      <c r="D9" t="str">
        <v/>
      </c>
      <c r="E9" t="str">
        <v>ja</v>
      </c>
      <c r="F9" t="str">
        <v/>
      </c>
      <c r="G9" t="str">
        <v/>
      </c>
      <c r="H9" t="str">
        <v>A</v>
      </c>
      <c r="I9" t="str">
        <v>golv_matta</v>
      </c>
      <c r="J9" t="str">
        <v/>
      </c>
      <c r="K9" t="str">
        <v/>
      </c>
      <c r="L9" t="str">
        <v>ja</v>
      </c>
      <c r="M9" t="str">
        <v>nej</v>
      </c>
    </row>
    <row r="10">
      <c r="A10" t="str">
        <v>vardagsrum</v>
      </c>
      <c r="B10" t="str">
        <v>golv_matta__spackling</v>
      </c>
      <c r="C10">
        <v>61</v>
      </c>
      <c r="D10" t="str">
        <v/>
      </c>
      <c r="E10" t="str">
        <v>nej</v>
      </c>
      <c r="F10" t="str">
        <v/>
      </c>
      <c r="G10" t="str">
        <v/>
      </c>
      <c r="H10" t="str">
        <v>A</v>
      </c>
      <c r="I10" t="str">
        <v>golv_matta</v>
      </c>
      <c r="J10" t="str">
        <v/>
      </c>
      <c r="K10" t="str">
        <v/>
      </c>
      <c r="L10" t="str">
        <v>ja</v>
      </c>
      <c r="M10" t="str">
        <v>nej</v>
      </c>
    </row>
    <row r="11">
      <c r="A11" t="str">
        <v>vardagsrum</v>
      </c>
      <c r="B11" t="str">
        <v>malning_tak</v>
      </c>
      <c r="C11">
        <v>70</v>
      </c>
      <c r="D11" t="str">
        <v/>
      </c>
      <c r="E11" t="str">
        <v>nej</v>
      </c>
      <c r="F11" t="str">
        <v/>
      </c>
      <c r="G11" t="str">
        <v/>
      </c>
      <c r="H11" t="str">
        <v/>
      </c>
      <c r="I11" t="str">
        <v/>
      </c>
      <c r="J11" t="str">
        <v/>
      </c>
      <c r="K11" t="str">
        <v/>
      </c>
      <c r="L11" t="str">
        <v/>
      </c>
      <c r="M11" t="str">
        <v/>
      </c>
    </row>
    <row r="12">
      <c r="A12" t="str">
        <v>vardagsrum</v>
      </c>
      <c r="B12" t="str">
        <v>malning_vagg</v>
      </c>
      <c r="C12">
        <v>80</v>
      </c>
      <c r="D12" t="str">
        <v/>
      </c>
      <c r="E12" t="str">
        <v>nej</v>
      </c>
      <c r="F12" t="str">
        <v/>
      </c>
      <c r="G12" t="str">
        <v/>
      </c>
      <c r="H12" t="str">
        <v/>
      </c>
      <c r="I12" t="str">
        <v/>
      </c>
      <c r="J12" t="str">
        <v/>
      </c>
      <c r="K12" t="str">
        <v/>
      </c>
      <c r="L12" t="str">
        <v/>
      </c>
      <c r="M12" t="str">
        <v/>
      </c>
    </row>
    <row r="13">
      <c r="A13" t="str">
        <v>vardagsrum</v>
      </c>
      <c r="B13" t="str">
        <v>innerdorr</v>
      </c>
      <c r="C13">
        <v>90</v>
      </c>
      <c r="D13" t="str">
        <v>innerdorr</v>
      </c>
      <c r="E13" t="str">
        <v>nej</v>
      </c>
      <c r="F13" t="str">
        <v/>
      </c>
      <c r="G13" t="str">
        <v/>
      </c>
      <c r="H13" t="str">
        <v/>
      </c>
      <c r="I13" t="str">
        <v/>
      </c>
      <c r="J13" t="str">
        <v/>
      </c>
      <c r="K13" t="str">
        <v/>
      </c>
      <c r="L13" t="str">
        <v/>
      </c>
      <c r="M13" t="str">
        <v/>
      </c>
    </row>
    <row r="14">
      <c r="A14" t="str">
        <v>vardagsrum</v>
      </c>
      <c r="B14" t="str">
        <v>innerdorr_malning</v>
      </c>
      <c r="C14">
        <v>100</v>
      </c>
      <c r="D14" t="str">
        <v>innerdorr</v>
      </c>
      <c r="E14" t="str">
        <v>nej</v>
      </c>
      <c r="F14" t="str">
        <v/>
      </c>
      <c r="G14" t="str">
        <v/>
      </c>
      <c r="H14" t="str">
        <v/>
      </c>
      <c r="I14" t="str">
        <v/>
      </c>
      <c r="J14" t="str">
        <v/>
      </c>
      <c r="K14" t="str">
        <v/>
      </c>
      <c r="L14" t="str">
        <v/>
      </c>
      <c r="M14" t="str">
        <v/>
      </c>
    </row>
    <row r="15">
      <c r="A15" t="str">
        <v>vardagsrum</v>
      </c>
      <c r="B15" t="str">
        <v>fonster_malning</v>
      </c>
      <c r="C15">
        <v>110</v>
      </c>
      <c r="D15" t="str">
        <v/>
      </c>
      <c r="E15" t="str">
        <v>nej</v>
      </c>
      <c r="F15" t="str">
        <v/>
      </c>
      <c r="G15" t="str">
        <v/>
      </c>
      <c r="H15" t="str">
        <v/>
      </c>
      <c r="I15" t="str">
        <v/>
      </c>
      <c r="J15" t="str">
        <v/>
      </c>
      <c r="K15" t="str">
        <v/>
      </c>
      <c r="L15" t="str">
        <v/>
      </c>
      <c r="M15" t="str">
        <v/>
      </c>
    </row>
    <row r="16">
      <c r="A16" t="str">
        <v>vardagsrum</v>
      </c>
      <c r="B16" t="str">
        <v>skyddstackning</v>
      </c>
      <c r="C16">
        <v>120</v>
      </c>
      <c r="D16" t="str">
        <v/>
      </c>
      <c r="E16" t="str">
        <v>ja</v>
      </c>
      <c r="F16" t="str">
        <v/>
      </c>
      <c r="G16" t="str">
        <v/>
      </c>
      <c r="H16" t="str">
        <v>B</v>
      </c>
      <c r="I16" t="str">
        <v/>
      </c>
      <c r="J16" t="str">
        <v>malning_tak,malning_vagg</v>
      </c>
      <c r="K16" t="str">
        <v>Målning</v>
      </c>
      <c r="L16" t="str">
        <v/>
      </c>
      <c r="M16" t="str">
        <v/>
      </c>
    </row>
    <row r="17">
      <c r="A17" t="str">
        <v>vardagsrum</v>
      </c>
      <c r="B17" t="str">
        <v>sockel</v>
      </c>
      <c r="C17">
        <v>130</v>
      </c>
      <c r="D17" t="str">
        <v/>
      </c>
      <c r="E17" t="str">
        <v>nej</v>
      </c>
      <c r="F17" t="str">
        <v/>
      </c>
      <c r="G17" t="str">
        <v/>
      </c>
      <c r="H17" t="str">
        <v/>
      </c>
      <c r="I17" t="str">
        <v/>
      </c>
      <c r="J17" t="str">
        <v/>
      </c>
      <c r="K17" t="str">
        <v/>
      </c>
      <c r="L17" t="str">
        <v/>
      </c>
      <c r="M17" t="str">
        <v/>
      </c>
    </row>
    <row r="18">
      <c r="A18" t="str">
        <v>vardagsrum</v>
      </c>
      <c r="B18" t="str">
        <v>taklist</v>
      </c>
      <c r="C18">
        <v>140</v>
      </c>
      <c r="D18" t="str">
        <v/>
      </c>
      <c r="E18" t="str">
        <v>nej</v>
      </c>
      <c r="F18" t="str">
        <v/>
      </c>
      <c r="G18" t="str">
        <v/>
      </c>
      <c r="H18" t="str">
        <v/>
      </c>
      <c r="I18" t="str">
        <v/>
      </c>
      <c r="J18" t="str">
        <v/>
      </c>
      <c r="K18" t="str">
        <v/>
      </c>
      <c r="L18" t="str">
        <v/>
      </c>
      <c r="M18" t="str">
        <v/>
      </c>
    </row>
    <row r="19">
      <c r="A19" t="str">
        <v>sovrum</v>
      </c>
      <c r="B19" t="str">
        <v>golv_ekparkett</v>
      </c>
      <c r="C19">
        <v>10</v>
      </c>
      <c r="D19" t="str">
        <v>golv</v>
      </c>
      <c r="E19" t="str">
        <v>nej</v>
      </c>
      <c r="F19" t="str">
        <v/>
      </c>
      <c r="G19" t="str">
        <v/>
      </c>
      <c r="H19" t="str">
        <v/>
      </c>
      <c r="I19" t="str">
        <v/>
      </c>
      <c r="J19" t="str">
        <v/>
      </c>
      <c r="K19" t="str">
        <v/>
      </c>
      <c r="L19" t="str">
        <v/>
      </c>
      <c r="M19" t="str">
        <v/>
      </c>
    </row>
    <row r="20">
      <c r="A20" t="str">
        <v>sovrum</v>
      </c>
      <c r="B20" t="str">
        <v>golv_ekparkett__rivning</v>
      </c>
      <c r="C20">
        <v>20</v>
      </c>
      <c r="D20" t="str">
        <v/>
      </c>
      <c r="E20" t="str">
        <v>ja</v>
      </c>
      <c r="F20" t="str">
        <v/>
      </c>
      <c r="G20" t="str">
        <v/>
      </c>
      <c r="H20" t="str">
        <v>A</v>
      </c>
      <c r="I20" t="str">
        <v>golv_ekparkett</v>
      </c>
      <c r="J20" t="str">
        <v/>
      </c>
      <c r="K20" t="str">
        <v/>
      </c>
      <c r="L20" t="str">
        <v>ja</v>
      </c>
      <c r="M20" t="str">
        <v>nej</v>
      </c>
    </row>
    <row r="21">
      <c r="A21" t="str">
        <v>sovrum</v>
      </c>
      <c r="B21" t="str">
        <v>golv_ekparkett__spackling</v>
      </c>
      <c r="C21">
        <v>21</v>
      </c>
      <c r="D21" t="str">
        <v/>
      </c>
      <c r="E21" t="str">
        <v>nej</v>
      </c>
      <c r="F21" t="str">
        <v/>
      </c>
      <c r="G21" t="str">
        <v/>
      </c>
      <c r="H21" t="str">
        <v>A</v>
      </c>
      <c r="I21" t="str">
        <v>golv_ekparkett</v>
      </c>
      <c r="J21" t="str">
        <v/>
      </c>
      <c r="K21" t="str">
        <v/>
      </c>
      <c r="L21" t="str">
        <v>ja</v>
      </c>
      <c r="M21" t="str">
        <v>nej</v>
      </c>
    </row>
    <row r="22">
      <c r="A22" t="str">
        <v>sovrum</v>
      </c>
      <c r="B22" t="str">
        <v>golv_klickvinyl</v>
      </c>
      <c r="C22">
        <v>30</v>
      </c>
      <c r="D22" t="str">
        <v>golv</v>
      </c>
      <c r="E22" t="str">
        <v>nej</v>
      </c>
      <c r="F22" t="str">
        <v/>
      </c>
      <c r="G22" t="str">
        <v/>
      </c>
      <c r="H22" t="str">
        <v/>
      </c>
      <c r="I22" t="str">
        <v/>
      </c>
      <c r="J22" t="str">
        <v/>
      </c>
      <c r="K22" t="str">
        <v/>
      </c>
      <c r="L22" t="str">
        <v/>
      </c>
      <c r="M22" t="str">
        <v/>
      </c>
    </row>
    <row r="23">
      <c r="A23" t="str">
        <v>sovrum</v>
      </c>
      <c r="B23" t="str">
        <v>golv_klickvinyl__rivning</v>
      </c>
      <c r="C23">
        <v>40</v>
      </c>
      <c r="D23" t="str">
        <v/>
      </c>
      <c r="E23" t="str">
        <v>ja</v>
      </c>
      <c r="F23" t="str">
        <v/>
      </c>
      <c r="G23" t="str">
        <v/>
      </c>
      <c r="H23" t="str">
        <v>A</v>
      </c>
      <c r="I23" t="str">
        <v>golv_klickvinyl</v>
      </c>
      <c r="J23" t="str">
        <v/>
      </c>
      <c r="K23" t="str">
        <v/>
      </c>
      <c r="L23" t="str">
        <v>ja</v>
      </c>
      <c r="M23" t="str">
        <v>nej</v>
      </c>
    </row>
    <row r="24">
      <c r="A24" t="str">
        <v>sovrum</v>
      </c>
      <c r="B24" t="str">
        <v>golv_klickvinyl__spackling</v>
      </c>
      <c r="C24">
        <v>41</v>
      </c>
      <c r="D24" t="str">
        <v/>
      </c>
      <c r="E24" t="str">
        <v>nej</v>
      </c>
      <c r="F24" t="str">
        <v/>
      </c>
      <c r="G24" t="str">
        <v/>
      </c>
      <c r="H24" t="str">
        <v>A</v>
      </c>
      <c r="I24" t="str">
        <v>golv_klickvinyl</v>
      </c>
      <c r="J24" t="str">
        <v/>
      </c>
      <c r="K24" t="str">
        <v/>
      </c>
      <c r="L24" t="str">
        <v>ja</v>
      </c>
      <c r="M24" t="str">
        <v>nej</v>
      </c>
    </row>
    <row r="25">
      <c r="A25" t="str">
        <v>sovrum</v>
      </c>
      <c r="B25" t="str">
        <v>golv_matta</v>
      </c>
      <c r="C25">
        <v>50</v>
      </c>
      <c r="D25" t="str">
        <v>golv</v>
      </c>
      <c r="E25" t="str">
        <v>nej</v>
      </c>
      <c r="F25" t="str">
        <v/>
      </c>
      <c r="G25" t="str">
        <v/>
      </c>
      <c r="H25" t="str">
        <v/>
      </c>
      <c r="I25" t="str">
        <v/>
      </c>
      <c r="J25" t="str">
        <v/>
      </c>
      <c r="K25" t="str">
        <v/>
      </c>
      <c r="L25" t="str">
        <v/>
      </c>
      <c r="M25" t="str">
        <v/>
      </c>
    </row>
    <row r="26">
      <c r="A26" t="str">
        <v>sovrum</v>
      </c>
      <c r="B26" t="str">
        <v>golv_matta__rivning</v>
      </c>
      <c r="C26">
        <v>60</v>
      </c>
      <c r="D26" t="str">
        <v/>
      </c>
      <c r="E26" t="str">
        <v>ja</v>
      </c>
      <c r="F26" t="str">
        <v/>
      </c>
      <c r="G26" t="str">
        <v/>
      </c>
      <c r="H26" t="str">
        <v>A</v>
      </c>
      <c r="I26" t="str">
        <v>golv_matta</v>
      </c>
      <c r="J26" t="str">
        <v/>
      </c>
      <c r="K26" t="str">
        <v/>
      </c>
      <c r="L26" t="str">
        <v>ja</v>
      </c>
      <c r="M26" t="str">
        <v>nej</v>
      </c>
    </row>
    <row r="27">
      <c r="A27" t="str">
        <v>sovrum</v>
      </c>
      <c r="B27" t="str">
        <v>golv_matta__spackling</v>
      </c>
      <c r="C27">
        <v>61</v>
      </c>
      <c r="D27" t="str">
        <v/>
      </c>
      <c r="E27" t="str">
        <v>nej</v>
      </c>
      <c r="F27" t="str">
        <v/>
      </c>
      <c r="G27" t="str">
        <v/>
      </c>
      <c r="H27" t="str">
        <v>A</v>
      </c>
      <c r="I27" t="str">
        <v>golv_matta</v>
      </c>
      <c r="J27" t="str">
        <v/>
      </c>
      <c r="K27" t="str">
        <v/>
      </c>
      <c r="L27" t="str">
        <v>ja</v>
      </c>
      <c r="M27" t="str">
        <v>nej</v>
      </c>
    </row>
    <row r="28">
      <c r="A28" t="str">
        <v>sovrum</v>
      </c>
      <c r="B28" t="str">
        <v>malning_tak</v>
      </c>
      <c r="C28">
        <v>70</v>
      </c>
      <c r="D28" t="str">
        <v/>
      </c>
      <c r="E28" t="str">
        <v>nej</v>
      </c>
      <c r="F28" t="str">
        <v/>
      </c>
      <c r="G28" t="str">
        <v/>
      </c>
      <c r="H28" t="str">
        <v/>
      </c>
      <c r="I28" t="str">
        <v/>
      </c>
      <c r="J28" t="str">
        <v/>
      </c>
      <c r="K28" t="str">
        <v/>
      </c>
      <c r="L28" t="str">
        <v/>
      </c>
      <c r="M28" t="str">
        <v/>
      </c>
    </row>
    <row r="29">
      <c r="A29" t="str">
        <v>sovrum</v>
      </c>
      <c r="B29" t="str">
        <v>malning_vagg</v>
      </c>
      <c r="C29">
        <v>80</v>
      </c>
      <c r="D29" t="str">
        <v/>
      </c>
      <c r="E29" t="str">
        <v>nej</v>
      </c>
      <c r="F29" t="str">
        <v/>
      </c>
      <c r="G29" t="str">
        <v/>
      </c>
      <c r="H29" t="str">
        <v/>
      </c>
      <c r="I29" t="str">
        <v/>
      </c>
      <c r="J29" t="str">
        <v/>
      </c>
      <c r="K29" t="str">
        <v/>
      </c>
      <c r="L29" t="str">
        <v/>
      </c>
      <c r="M29" t="str">
        <v/>
      </c>
    </row>
    <row r="30">
      <c r="A30" t="str">
        <v>sovrum</v>
      </c>
      <c r="B30" t="str">
        <v>innerdorr</v>
      </c>
      <c r="C30">
        <v>90</v>
      </c>
      <c r="D30" t="str">
        <v>innerdorr</v>
      </c>
      <c r="E30" t="str">
        <v>ja</v>
      </c>
      <c r="F30">
        <v>1</v>
      </c>
      <c r="G30" t="str">
        <v/>
      </c>
      <c r="H30" t="str">
        <v/>
      </c>
      <c r="I30" t="str">
        <v/>
      </c>
      <c r="J30" t="str">
        <v/>
      </c>
      <c r="K30" t="str">
        <v/>
      </c>
      <c r="L30" t="str">
        <v/>
      </c>
      <c r="M30" t="str">
        <v/>
      </c>
    </row>
    <row r="31">
      <c r="A31" t="str">
        <v>sovrum</v>
      </c>
      <c r="B31" t="str">
        <v>innerdorr_malning</v>
      </c>
      <c r="C31">
        <v>100</v>
      </c>
      <c r="D31" t="str">
        <v>innerdorr</v>
      </c>
      <c r="E31" t="str">
        <v>nej</v>
      </c>
      <c r="F31" t="str">
        <v/>
      </c>
      <c r="G31" t="str">
        <v/>
      </c>
      <c r="H31" t="str">
        <v/>
      </c>
      <c r="I31" t="str">
        <v/>
      </c>
      <c r="J31" t="str">
        <v/>
      </c>
      <c r="K31" t="str">
        <v/>
      </c>
      <c r="L31" t="str">
        <v/>
      </c>
      <c r="M31" t="str">
        <v/>
      </c>
    </row>
    <row r="32">
      <c r="A32" t="str">
        <v>sovrum</v>
      </c>
      <c r="B32" t="str">
        <v>fonster_malning</v>
      </c>
      <c r="C32">
        <v>110</v>
      </c>
      <c r="D32" t="str">
        <v/>
      </c>
      <c r="E32" t="str">
        <v>nej</v>
      </c>
      <c r="F32" t="str">
        <v/>
      </c>
      <c r="G32" t="str">
        <v/>
      </c>
      <c r="H32" t="str">
        <v/>
      </c>
      <c r="I32" t="str">
        <v/>
      </c>
      <c r="J32" t="str">
        <v/>
      </c>
      <c r="K32" t="str">
        <v/>
      </c>
      <c r="L32" t="str">
        <v/>
      </c>
      <c r="M32" t="str">
        <v/>
      </c>
    </row>
    <row r="33">
      <c r="A33" t="str">
        <v>sovrum</v>
      </c>
      <c r="B33" t="str">
        <v>garderob_60</v>
      </c>
      <c r="C33">
        <v>120</v>
      </c>
      <c r="D33" t="str">
        <v/>
      </c>
      <c r="E33" t="str">
        <v>nej</v>
      </c>
      <c r="F33" t="str">
        <v/>
      </c>
      <c r="G33" t="str">
        <v/>
      </c>
      <c r="H33" t="str">
        <v/>
      </c>
      <c r="I33" t="str">
        <v/>
      </c>
      <c r="J33" t="str">
        <v/>
      </c>
      <c r="K33" t="str">
        <v/>
      </c>
      <c r="L33" t="str">
        <v/>
      </c>
      <c r="M33" t="str">
        <v/>
      </c>
    </row>
    <row r="34">
      <c r="A34" t="str">
        <v>sovrum</v>
      </c>
      <c r="B34" t="str">
        <v>skyddstackning</v>
      </c>
      <c r="C34">
        <v>130</v>
      </c>
      <c r="D34" t="str">
        <v/>
      </c>
      <c r="E34" t="str">
        <v>ja</v>
      </c>
      <c r="F34" t="str">
        <v/>
      </c>
      <c r="G34" t="str">
        <v/>
      </c>
      <c r="H34" t="str">
        <v>B</v>
      </c>
      <c r="I34" t="str">
        <v/>
      </c>
      <c r="J34" t="str">
        <v>malning_tak,malning_vagg</v>
      </c>
      <c r="K34" t="str">
        <v>Målning</v>
      </c>
      <c r="L34" t="str">
        <v/>
      </c>
      <c r="M34" t="str">
        <v/>
      </c>
    </row>
    <row r="35">
      <c r="A35" t="str">
        <v>sovrum</v>
      </c>
      <c r="B35" t="str">
        <v>sockel</v>
      </c>
      <c r="C35">
        <v>140</v>
      </c>
      <c r="D35" t="str">
        <v/>
      </c>
      <c r="E35" t="str">
        <v>nej</v>
      </c>
      <c r="F35" t="str">
        <v/>
      </c>
      <c r="G35" t="str">
        <v/>
      </c>
      <c r="H35" t="str">
        <v/>
      </c>
      <c r="I35" t="str">
        <v/>
      </c>
      <c r="J35" t="str">
        <v/>
      </c>
      <c r="K35" t="str">
        <v/>
      </c>
      <c r="L35" t="str">
        <v/>
      </c>
      <c r="M35" t="str">
        <v/>
      </c>
    </row>
    <row r="36">
      <c r="A36" t="str">
        <v>sovrum</v>
      </c>
      <c r="B36" t="str">
        <v>taklist</v>
      </c>
      <c r="C36">
        <v>150</v>
      </c>
      <c r="D36" t="str">
        <v/>
      </c>
      <c r="E36" t="str">
        <v>nej</v>
      </c>
      <c r="F36" t="str">
        <v/>
      </c>
      <c r="G36" t="str">
        <v/>
      </c>
      <c r="H36" t="str">
        <v/>
      </c>
      <c r="I36" t="str">
        <v/>
      </c>
      <c r="J36" t="str">
        <v/>
      </c>
      <c r="K36" t="str">
        <v/>
      </c>
      <c r="L36" t="str">
        <v/>
      </c>
      <c r="M36" t="str">
        <v/>
      </c>
    </row>
    <row r="37">
      <c r="A37" t="str">
        <v>hall</v>
      </c>
      <c r="B37" t="str">
        <v>golv_ekparkett</v>
      </c>
      <c r="C37">
        <v>10</v>
      </c>
      <c r="D37" t="str">
        <v>golv</v>
      </c>
      <c r="E37" t="str">
        <v>nej</v>
      </c>
      <c r="F37" t="str">
        <v/>
      </c>
      <c r="G37" t="str">
        <v/>
      </c>
      <c r="H37" t="str">
        <v/>
      </c>
      <c r="I37" t="str">
        <v/>
      </c>
      <c r="J37" t="str">
        <v/>
      </c>
      <c r="K37" t="str">
        <v/>
      </c>
      <c r="L37" t="str">
        <v/>
      </c>
      <c r="M37" t="str">
        <v/>
      </c>
    </row>
    <row r="38">
      <c r="A38" t="str">
        <v>hall</v>
      </c>
      <c r="B38" t="str">
        <v>golv_ekparkett__rivning</v>
      </c>
      <c r="C38">
        <v>20</v>
      </c>
      <c r="D38" t="str">
        <v/>
      </c>
      <c r="E38" t="str">
        <v>ja</v>
      </c>
      <c r="F38" t="str">
        <v/>
      </c>
      <c r="G38" t="str">
        <v/>
      </c>
      <c r="H38" t="str">
        <v>A</v>
      </c>
      <c r="I38" t="str">
        <v>golv_ekparkett</v>
      </c>
      <c r="J38" t="str">
        <v/>
      </c>
      <c r="K38" t="str">
        <v/>
      </c>
      <c r="L38" t="str">
        <v>ja</v>
      </c>
      <c r="M38" t="str">
        <v>nej</v>
      </c>
    </row>
    <row r="39">
      <c r="A39" t="str">
        <v>hall</v>
      </c>
      <c r="B39" t="str">
        <v>golv_ekparkett__spackling</v>
      </c>
      <c r="C39">
        <v>21</v>
      </c>
      <c r="D39" t="str">
        <v/>
      </c>
      <c r="E39" t="str">
        <v>nej</v>
      </c>
      <c r="F39" t="str">
        <v/>
      </c>
      <c r="G39" t="str">
        <v/>
      </c>
      <c r="H39" t="str">
        <v>A</v>
      </c>
      <c r="I39" t="str">
        <v>golv_ekparkett</v>
      </c>
      <c r="J39" t="str">
        <v/>
      </c>
      <c r="K39" t="str">
        <v/>
      </c>
      <c r="L39" t="str">
        <v>ja</v>
      </c>
      <c r="M39" t="str">
        <v>nej</v>
      </c>
    </row>
    <row r="40">
      <c r="A40" t="str">
        <v>hall</v>
      </c>
      <c r="B40" t="str">
        <v>golv_klickvinyl</v>
      </c>
      <c r="C40">
        <v>30</v>
      </c>
      <c r="D40" t="str">
        <v>golv</v>
      </c>
      <c r="E40" t="str">
        <v>nej</v>
      </c>
      <c r="F40" t="str">
        <v/>
      </c>
      <c r="G40" t="str">
        <v/>
      </c>
      <c r="H40" t="str">
        <v/>
      </c>
      <c r="I40" t="str">
        <v/>
      </c>
      <c r="J40" t="str">
        <v/>
      </c>
      <c r="K40" t="str">
        <v/>
      </c>
      <c r="L40" t="str">
        <v/>
      </c>
      <c r="M40" t="str">
        <v/>
      </c>
    </row>
    <row r="41">
      <c r="A41" t="str">
        <v>hall</v>
      </c>
      <c r="B41" t="str">
        <v>golv_klickvinyl__rivning</v>
      </c>
      <c r="C41">
        <v>40</v>
      </c>
      <c r="D41" t="str">
        <v/>
      </c>
      <c r="E41" t="str">
        <v>ja</v>
      </c>
      <c r="F41" t="str">
        <v/>
      </c>
      <c r="G41" t="str">
        <v/>
      </c>
      <c r="H41" t="str">
        <v>A</v>
      </c>
      <c r="I41" t="str">
        <v>golv_klickvinyl</v>
      </c>
      <c r="J41" t="str">
        <v/>
      </c>
      <c r="K41" t="str">
        <v/>
      </c>
      <c r="L41" t="str">
        <v>ja</v>
      </c>
      <c r="M41" t="str">
        <v>nej</v>
      </c>
    </row>
    <row r="42">
      <c r="A42" t="str">
        <v>hall</v>
      </c>
      <c r="B42" t="str">
        <v>golv_klickvinyl__spackling</v>
      </c>
      <c r="C42">
        <v>41</v>
      </c>
      <c r="D42" t="str">
        <v/>
      </c>
      <c r="E42" t="str">
        <v>nej</v>
      </c>
      <c r="F42" t="str">
        <v/>
      </c>
      <c r="G42" t="str">
        <v/>
      </c>
      <c r="H42" t="str">
        <v>A</v>
      </c>
      <c r="I42" t="str">
        <v>golv_klickvinyl</v>
      </c>
      <c r="J42" t="str">
        <v/>
      </c>
      <c r="K42" t="str">
        <v/>
      </c>
      <c r="L42" t="str">
        <v>ja</v>
      </c>
      <c r="M42" t="str">
        <v>nej</v>
      </c>
    </row>
    <row r="43">
      <c r="A43" t="str">
        <v>hall</v>
      </c>
      <c r="B43" t="str">
        <v>golv_matta</v>
      </c>
      <c r="C43">
        <v>50</v>
      </c>
      <c r="D43" t="str">
        <v>golv</v>
      </c>
      <c r="E43" t="str">
        <v>nej</v>
      </c>
      <c r="F43" t="str">
        <v/>
      </c>
      <c r="G43" t="str">
        <v/>
      </c>
      <c r="H43" t="str">
        <v/>
      </c>
      <c r="I43" t="str">
        <v/>
      </c>
      <c r="J43" t="str">
        <v/>
      </c>
      <c r="K43" t="str">
        <v/>
      </c>
      <c r="L43" t="str">
        <v/>
      </c>
      <c r="M43" t="str">
        <v/>
      </c>
    </row>
    <row r="44">
      <c r="A44" t="str">
        <v>hall</v>
      </c>
      <c r="B44" t="str">
        <v>golv_matta__rivning</v>
      </c>
      <c r="C44">
        <v>60</v>
      </c>
      <c r="D44" t="str">
        <v/>
      </c>
      <c r="E44" t="str">
        <v>ja</v>
      </c>
      <c r="F44" t="str">
        <v/>
      </c>
      <c r="G44" t="str">
        <v/>
      </c>
      <c r="H44" t="str">
        <v>A</v>
      </c>
      <c r="I44" t="str">
        <v>golv_matta</v>
      </c>
      <c r="J44" t="str">
        <v/>
      </c>
      <c r="K44" t="str">
        <v/>
      </c>
      <c r="L44" t="str">
        <v>ja</v>
      </c>
      <c r="M44" t="str">
        <v>nej</v>
      </c>
    </row>
    <row r="45">
      <c r="A45" t="str">
        <v>hall</v>
      </c>
      <c r="B45" t="str">
        <v>golv_matta__spackling</v>
      </c>
      <c r="C45">
        <v>61</v>
      </c>
      <c r="D45" t="str">
        <v/>
      </c>
      <c r="E45" t="str">
        <v>nej</v>
      </c>
      <c r="F45" t="str">
        <v/>
      </c>
      <c r="G45" t="str">
        <v/>
      </c>
      <c r="H45" t="str">
        <v>A</v>
      </c>
      <c r="I45" t="str">
        <v>golv_matta</v>
      </c>
      <c r="J45" t="str">
        <v/>
      </c>
      <c r="K45" t="str">
        <v/>
      </c>
      <c r="L45" t="str">
        <v>ja</v>
      </c>
      <c r="M45" t="str">
        <v>nej</v>
      </c>
    </row>
    <row r="46">
      <c r="A46" t="str">
        <v>hall</v>
      </c>
      <c r="B46" t="str">
        <v>golv_klinker</v>
      </c>
      <c r="C46">
        <v>70</v>
      </c>
      <c r="D46" t="str">
        <v>golv</v>
      </c>
      <c r="E46" t="str">
        <v>nej</v>
      </c>
      <c r="F46" t="str">
        <v/>
      </c>
      <c r="G46" t="str">
        <v/>
      </c>
      <c r="H46" t="str">
        <v/>
      </c>
      <c r="I46" t="str">
        <v/>
      </c>
      <c r="J46" t="str">
        <v/>
      </c>
      <c r="K46" t="str">
        <v/>
      </c>
      <c r="L46" t="str">
        <v/>
      </c>
      <c r="M46" t="str">
        <v/>
      </c>
    </row>
    <row r="47">
      <c r="A47" t="str">
        <v>hall</v>
      </c>
      <c r="B47" t="str">
        <v>golv_klinker__rivning</v>
      </c>
      <c r="C47">
        <v>80</v>
      </c>
      <c r="D47" t="str">
        <v/>
      </c>
      <c r="E47" t="str">
        <v>ja</v>
      </c>
      <c r="F47" t="str">
        <v/>
      </c>
      <c r="G47" t="str">
        <v/>
      </c>
      <c r="H47" t="str">
        <v>A</v>
      </c>
      <c r="I47" t="str">
        <v>golv_klinker</v>
      </c>
      <c r="J47" t="str">
        <v/>
      </c>
      <c r="K47" t="str">
        <v/>
      </c>
      <c r="L47" t="str">
        <v>ja</v>
      </c>
      <c r="M47" t="str">
        <v>nej</v>
      </c>
    </row>
    <row r="48">
      <c r="A48" t="str">
        <v>hall</v>
      </c>
      <c r="B48" t="str">
        <v>golv_klinker__spackling</v>
      </c>
      <c r="C48">
        <v>81</v>
      </c>
      <c r="D48" t="str">
        <v/>
      </c>
      <c r="E48" t="str">
        <v>ja</v>
      </c>
      <c r="F48" t="str">
        <v/>
      </c>
      <c r="G48" t="str">
        <v/>
      </c>
      <c r="H48" t="str">
        <v>A</v>
      </c>
      <c r="I48" t="str">
        <v>golv_klinker</v>
      </c>
      <c r="J48" t="str">
        <v/>
      </c>
      <c r="K48" t="str">
        <v/>
      </c>
      <c r="L48" t="str">
        <v>ja</v>
      </c>
      <c r="M48" t="str">
        <v>nej</v>
      </c>
    </row>
    <row r="49">
      <c r="A49" t="str">
        <v>hall</v>
      </c>
      <c r="B49" t="str">
        <v>malning_tak</v>
      </c>
      <c r="C49">
        <v>90</v>
      </c>
      <c r="D49" t="str">
        <v/>
      </c>
      <c r="E49" t="str">
        <v>nej</v>
      </c>
      <c r="F49" t="str">
        <v/>
      </c>
      <c r="G49" t="str">
        <v/>
      </c>
      <c r="H49" t="str">
        <v/>
      </c>
      <c r="I49" t="str">
        <v/>
      </c>
      <c r="J49" t="str">
        <v/>
      </c>
      <c r="K49" t="str">
        <v/>
      </c>
      <c r="L49" t="str">
        <v/>
      </c>
      <c r="M49" t="str">
        <v/>
      </c>
    </row>
    <row r="50">
      <c r="A50" t="str">
        <v>hall</v>
      </c>
      <c r="B50" t="str">
        <v>malning_vagg</v>
      </c>
      <c r="C50">
        <v>100</v>
      </c>
      <c r="D50" t="str">
        <v/>
      </c>
      <c r="E50" t="str">
        <v>nej</v>
      </c>
      <c r="F50" t="str">
        <v/>
      </c>
      <c r="G50" t="str">
        <v/>
      </c>
      <c r="H50" t="str">
        <v/>
      </c>
      <c r="I50" t="str">
        <v/>
      </c>
      <c r="J50" t="str">
        <v/>
      </c>
      <c r="K50" t="str">
        <v/>
      </c>
      <c r="L50" t="str">
        <v/>
      </c>
      <c r="M50" t="str">
        <v/>
      </c>
    </row>
    <row r="51">
      <c r="A51" t="str">
        <v>hall</v>
      </c>
      <c r="B51" t="str">
        <v>innerdorr</v>
      </c>
      <c r="C51">
        <v>110</v>
      </c>
      <c r="D51" t="str">
        <v>innerdorr</v>
      </c>
      <c r="E51" t="str">
        <v>nej</v>
      </c>
      <c r="F51" t="str">
        <v/>
      </c>
      <c r="G51" t="str">
        <v/>
      </c>
      <c r="H51" t="str">
        <v/>
      </c>
      <c r="I51" t="str">
        <v/>
      </c>
      <c r="J51" t="str">
        <v/>
      </c>
      <c r="K51" t="str">
        <v/>
      </c>
      <c r="L51" t="str">
        <v/>
      </c>
      <c r="M51" t="str">
        <v/>
      </c>
    </row>
    <row r="52">
      <c r="A52" t="str">
        <v>hall</v>
      </c>
      <c r="B52" t="str">
        <v>innerdorr_malning</v>
      </c>
      <c r="C52">
        <v>120</v>
      </c>
      <c r="D52" t="str">
        <v>innerdorr</v>
      </c>
      <c r="E52" t="str">
        <v>nej</v>
      </c>
      <c r="F52" t="str">
        <v/>
      </c>
      <c r="G52" t="str">
        <v/>
      </c>
      <c r="H52" t="str">
        <v/>
      </c>
      <c r="I52" t="str">
        <v/>
      </c>
      <c r="J52" t="str">
        <v/>
      </c>
      <c r="K52" t="str">
        <v/>
      </c>
      <c r="L52" t="str">
        <v/>
      </c>
      <c r="M52" t="str">
        <v/>
      </c>
    </row>
    <row r="53">
      <c r="A53" t="str">
        <v>hall</v>
      </c>
      <c r="B53" t="str">
        <v>garderob_60</v>
      </c>
      <c r="C53">
        <v>130</v>
      </c>
      <c r="D53" t="str">
        <v/>
      </c>
      <c r="E53" t="str">
        <v>nej</v>
      </c>
      <c r="F53" t="str">
        <v/>
      </c>
      <c r="G53" t="str">
        <v/>
      </c>
      <c r="H53" t="str">
        <v/>
      </c>
      <c r="I53" t="str">
        <v/>
      </c>
      <c r="J53" t="str">
        <v/>
      </c>
      <c r="K53" t="str">
        <v/>
      </c>
      <c r="L53" t="str">
        <v/>
      </c>
      <c r="M53" t="str">
        <v/>
      </c>
    </row>
    <row r="54">
      <c r="A54" t="str">
        <v>hall</v>
      </c>
      <c r="B54" t="str">
        <v>skyddstackning</v>
      </c>
      <c r="C54">
        <v>140</v>
      </c>
      <c r="D54" t="str">
        <v/>
      </c>
      <c r="E54" t="str">
        <v>ja</v>
      </c>
      <c r="F54" t="str">
        <v/>
      </c>
      <c r="G54" t="str">
        <v/>
      </c>
      <c r="H54" t="str">
        <v>B</v>
      </c>
      <c r="I54" t="str">
        <v/>
      </c>
      <c r="J54" t="str">
        <v>malning_tak,malning_vagg</v>
      </c>
      <c r="K54" t="str">
        <v>Målning</v>
      </c>
      <c r="L54" t="str">
        <v/>
      </c>
      <c r="M54" t="str">
        <v/>
      </c>
    </row>
    <row r="55">
      <c r="A55" t="str">
        <v>hall</v>
      </c>
      <c r="B55" t="str">
        <v>sockel</v>
      </c>
      <c r="C55">
        <v>150</v>
      </c>
      <c r="D55" t="str">
        <v/>
      </c>
      <c r="E55" t="str">
        <v>nej</v>
      </c>
      <c r="F55" t="str">
        <v/>
      </c>
      <c r="G55" t="str">
        <v/>
      </c>
      <c r="H55" t="str">
        <v/>
      </c>
      <c r="I55" t="str">
        <v/>
      </c>
      <c r="J55" t="str">
        <v/>
      </c>
      <c r="K55" t="str">
        <v/>
      </c>
      <c r="L55" t="str">
        <v/>
      </c>
      <c r="M55" t="str">
        <v/>
      </c>
    </row>
    <row r="56">
      <c r="A56" t="str">
        <v>hall</v>
      </c>
      <c r="B56" t="str">
        <v>taklist</v>
      </c>
      <c r="C56">
        <v>160</v>
      </c>
      <c r="D56" t="str">
        <v/>
      </c>
      <c r="E56" t="str">
        <v>nej</v>
      </c>
      <c r="F56" t="str">
        <v/>
      </c>
      <c r="G56" t="str">
        <v/>
      </c>
      <c r="H56" t="str">
        <v/>
      </c>
      <c r="I56" t="str">
        <v/>
      </c>
      <c r="J56" t="str">
        <v/>
      </c>
      <c r="K56" t="str">
        <v/>
      </c>
      <c r="L56" t="str">
        <v/>
      </c>
      <c r="M56" t="str">
        <v/>
      </c>
    </row>
    <row r="57">
      <c r="A57" t="str">
        <v>entre</v>
      </c>
      <c r="B57" t="str">
        <v>golv_ekparkett</v>
      </c>
      <c r="C57">
        <v>10</v>
      </c>
      <c r="D57" t="str">
        <v>golv</v>
      </c>
      <c r="E57" t="str">
        <v>nej</v>
      </c>
      <c r="F57" t="str">
        <v/>
      </c>
      <c r="G57" t="str">
        <v/>
      </c>
      <c r="H57" t="str">
        <v/>
      </c>
      <c r="I57" t="str">
        <v/>
      </c>
      <c r="J57" t="str">
        <v/>
      </c>
      <c r="K57" t="str">
        <v/>
      </c>
      <c r="L57" t="str">
        <v/>
      </c>
      <c r="M57" t="str">
        <v/>
      </c>
    </row>
    <row r="58">
      <c r="A58" t="str">
        <v>entre</v>
      </c>
      <c r="B58" t="str">
        <v>golv_ekparkett__rivning</v>
      </c>
      <c r="C58">
        <v>20</v>
      </c>
      <c r="D58" t="str">
        <v/>
      </c>
      <c r="E58" t="str">
        <v>ja</v>
      </c>
      <c r="F58" t="str">
        <v/>
      </c>
      <c r="G58" t="str">
        <v/>
      </c>
      <c r="H58" t="str">
        <v>A</v>
      </c>
      <c r="I58" t="str">
        <v>golv_ekparkett</v>
      </c>
      <c r="J58" t="str">
        <v/>
      </c>
      <c r="K58" t="str">
        <v/>
      </c>
      <c r="L58" t="str">
        <v>ja</v>
      </c>
      <c r="M58" t="str">
        <v>nej</v>
      </c>
    </row>
    <row r="59">
      <c r="A59" t="str">
        <v>entre</v>
      </c>
      <c r="B59" t="str">
        <v>golv_ekparkett__spackling</v>
      </c>
      <c r="C59">
        <v>21</v>
      </c>
      <c r="D59" t="str">
        <v/>
      </c>
      <c r="E59" t="str">
        <v>nej</v>
      </c>
      <c r="F59" t="str">
        <v/>
      </c>
      <c r="G59" t="str">
        <v/>
      </c>
      <c r="H59" t="str">
        <v>A</v>
      </c>
      <c r="I59" t="str">
        <v>golv_ekparkett</v>
      </c>
      <c r="J59" t="str">
        <v/>
      </c>
      <c r="K59" t="str">
        <v/>
      </c>
      <c r="L59" t="str">
        <v>ja</v>
      </c>
      <c r="M59" t="str">
        <v>nej</v>
      </c>
    </row>
    <row r="60">
      <c r="A60" t="str">
        <v>entre</v>
      </c>
      <c r="B60" t="str">
        <v>golv_klickvinyl</v>
      </c>
      <c r="C60">
        <v>30</v>
      </c>
      <c r="D60" t="str">
        <v>golv</v>
      </c>
      <c r="E60" t="str">
        <v>nej</v>
      </c>
      <c r="F60" t="str">
        <v/>
      </c>
      <c r="G60" t="str">
        <v/>
      </c>
      <c r="H60" t="str">
        <v/>
      </c>
      <c r="I60" t="str">
        <v/>
      </c>
      <c r="J60" t="str">
        <v/>
      </c>
      <c r="K60" t="str">
        <v/>
      </c>
      <c r="L60" t="str">
        <v/>
      </c>
      <c r="M60" t="str">
        <v/>
      </c>
    </row>
    <row r="61">
      <c r="A61" t="str">
        <v>entre</v>
      </c>
      <c r="B61" t="str">
        <v>golv_klickvinyl__rivning</v>
      </c>
      <c r="C61">
        <v>40</v>
      </c>
      <c r="D61" t="str">
        <v/>
      </c>
      <c r="E61" t="str">
        <v>ja</v>
      </c>
      <c r="F61" t="str">
        <v/>
      </c>
      <c r="G61" t="str">
        <v/>
      </c>
      <c r="H61" t="str">
        <v>A</v>
      </c>
      <c r="I61" t="str">
        <v>golv_klickvinyl</v>
      </c>
      <c r="J61" t="str">
        <v/>
      </c>
      <c r="K61" t="str">
        <v/>
      </c>
      <c r="L61" t="str">
        <v>ja</v>
      </c>
      <c r="M61" t="str">
        <v>nej</v>
      </c>
    </row>
    <row r="62">
      <c r="A62" t="str">
        <v>entre</v>
      </c>
      <c r="B62" t="str">
        <v>golv_klickvinyl__spackling</v>
      </c>
      <c r="C62">
        <v>41</v>
      </c>
      <c r="D62" t="str">
        <v/>
      </c>
      <c r="E62" t="str">
        <v>nej</v>
      </c>
      <c r="F62" t="str">
        <v/>
      </c>
      <c r="G62" t="str">
        <v/>
      </c>
      <c r="H62" t="str">
        <v>A</v>
      </c>
      <c r="I62" t="str">
        <v>golv_klickvinyl</v>
      </c>
      <c r="J62" t="str">
        <v/>
      </c>
      <c r="K62" t="str">
        <v/>
      </c>
      <c r="L62" t="str">
        <v>ja</v>
      </c>
      <c r="M62" t="str">
        <v>nej</v>
      </c>
    </row>
    <row r="63">
      <c r="A63" t="str">
        <v>entre</v>
      </c>
      <c r="B63" t="str">
        <v>golv_matta</v>
      </c>
      <c r="C63">
        <v>50</v>
      </c>
      <c r="D63" t="str">
        <v>golv</v>
      </c>
      <c r="E63" t="str">
        <v>nej</v>
      </c>
      <c r="F63" t="str">
        <v/>
      </c>
      <c r="G63" t="str">
        <v/>
      </c>
      <c r="H63" t="str">
        <v/>
      </c>
      <c r="I63" t="str">
        <v/>
      </c>
      <c r="J63" t="str">
        <v/>
      </c>
      <c r="K63" t="str">
        <v/>
      </c>
      <c r="L63" t="str">
        <v/>
      </c>
      <c r="M63" t="str">
        <v/>
      </c>
    </row>
    <row r="64">
      <c r="A64" t="str">
        <v>entre</v>
      </c>
      <c r="B64" t="str">
        <v>golv_matta__rivning</v>
      </c>
      <c r="C64">
        <v>60</v>
      </c>
      <c r="D64" t="str">
        <v/>
      </c>
      <c r="E64" t="str">
        <v>ja</v>
      </c>
      <c r="F64" t="str">
        <v/>
      </c>
      <c r="G64" t="str">
        <v/>
      </c>
      <c r="H64" t="str">
        <v>A</v>
      </c>
      <c r="I64" t="str">
        <v>golv_matta</v>
      </c>
      <c r="J64" t="str">
        <v/>
      </c>
      <c r="K64" t="str">
        <v/>
      </c>
      <c r="L64" t="str">
        <v>ja</v>
      </c>
      <c r="M64" t="str">
        <v>nej</v>
      </c>
    </row>
    <row r="65">
      <c r="A65" t="str">
        <v>entre</v>
      </c>
      <c r="B65" t="str">
        <v>golv_matta__spackling</v>
      </c>
      <c r="C65">
        <v>61</v>
      </c>
      <c r="D65" t="str">
        <v/>
      </c>
      <c r="E65" t="str">
        <v>nej</v>
      </c>
      <c r="F65" t="str">
        <v/>
      </c>
      <c r="G65" t="str">
        <v/>
      </c>
      <c r="H65" t="str">
        <v>A</v>
      </c>
      <c r="I65" t="str">
        <v>golv_matta</v>
      </c>
      <c r="J65" t="str">
        <v/>
      </c>
      <c r="K65" t="str">
        <v/>
      </c>
      <c r="L65" t="str">
        <v>ja</v>
      </c>
      <c r="M65" t="str">
        <v>nej</v>
      </c>
    </row>
    <row r="66">
      <c r="A66" t="str">
        <v>entre</v>
      </c>
      <c r="B66" t="str">
        <v>malning_tak</v>
      </c>
      <c r="C66">
        <v>70</v>
      </c>
      <c r="D66" t="str">
        <v/>
      </c>
      <c r="E66" t="str">
        <v>nej</v>
      </c>
      <c r="F66" t="str">
        <v/>
      </c>
      <c r="G66" t="str">
        <v/>
      </c>
      <c r="H66" t="str">
        <v/>
      </c>
      <c r="I66" t="str">
        <v/>
      </c>
      <c r="J66" t="str">
        <v/>
      </c>
      <c r="K66" t="str">
        <v/>
      </c>
      <c r="L66" t="str">
        <v/>
      </c>
      <c r="M66" t="str">
        <v/>
      </c>
    </row>
    <row r="67">
      <c r="A67" t="str">
        <v>entre</v>
      </c>
      <c r="B67" t="str">
        <v>malning_vagg</v>
      </c>
      <c r="C67">
        <v>80</v>
      </c>
      <c r="D67" t="str">
        <v/>
      </c>
      <c r="E67" t="str">
        <v>nej</v>
      </c>
      <c r="F67" t="str">
        <v/>
      </c>
      <c r="G67" t="str">
        <v/>
      </c>
      <c r="H67" t="str">
        <v/>
      </c>
      <c r="I67" t="str">
        <v/>
      </c>
      <c r="J67" t="str">
        <v/>
      </c>
      <c r="K67" t="str">
        <v/>
      </c>
      <c r="L67" t="str">
        <v/>
      </c>
      <c r="M67" t="str">
        <v/>
      </c>
    </row>
    <row r="68">
      <c r="A68" t="str">
        <v>entre</v>
      </c>
      <c r="B68" t="str">
        <v>innerdorr</v>
      </c>
      <c r="C68">
        <v>90</v>
      </c>
      <c r="D68" t="str">
        <v>innerdorr</v>
      </c>
      <c r="E68" t="str">
        <v>nej</v>
      </c>
      <c r="F68" t="str">
        <v/>
      </c>
      <c r="G68" t="str">
        <v/>
      </c>
      <c r="H68" t="str">
        <v/>
      </c>
      <c r="I68" t="str">
        <v/>
      </c>
      <c r="J68" t="str">
        <v/>
      </c>
      <c r="K68" t="str">
        <v/>
      </c>
      <c r="L68" t="str">
        <v/>
      </c>
      <c r="M68" t="str">
        <v/>
      </c>
    </row>
    <row r="69">
      <c r="A69" t="str">
        <v>entre</v>
      </c>
      <c r="B69" t="str">
        <v>innerdorr_malning</v>
      </c>
      <c r="C69">
        <v>100</v>
      </c>
      <c r="D69" t="str">
        <v>innerdorr</v>
      </c>
      <c r="E69" t="str">
        <v>nej</v>
      </c>
      <c r="F69" t="str">
        <v/>
      </c>
      <c r="G69" t="str">
        <v/>
      </c>
      <c r="H69" t="str">
        <v/>
      </c>
      <c r="I69" t="str">
        <v/>
      </c>
      <c r="J69" t="str">
        <v/>
      </c>
      <c r="K69" t="str">
        <v/>
      </c>
      <c r="L69" t="str">
        <v/>
      </c>
      <c r="M69" t="str">
        <v/>
      </c>
    </row>
    <row r="70">
      <c r="A70" t="str">
        <v>entre</v>
      </c>
      <c r="B70" t="str">
        <v>fonster_malning</v>
      </c>
      <c r="C70">
        <v>110</v>
      </c>
      <c r="D70" t="str">
        <v/>
      </c>
      <c r="E70" t="str">
        <v>nej</v>
      </c>
      <c r="F70" t="str">
        <v/>
      </c>
      <c r="G70" t="str">
        <v/>
      </c>
      <c r="H70" t="str">
        <v/>
      </c>
      <c r="I70" t="str">
        <v/>
      </c>
      <c r="J70" t="str">
        <v/>
      </c>
      <c r="K70" t="str">
        <v/>
      </c>
      <c r="L70" t="str">
        <v/>
      </c>
      <c r="M70" t="str">
        <v/>
      </c>
    </row>
    <row r="71">
      <c r="A71" t="str">
        <v>entre</v>
      </c>
      <c r="B71" t="str">
        <v>garderob_60</v>
      </c>
      <c r="C71">
        <v>120</v>
      </c>
      <c r="D71" t="str">
        <v/>
      </c>
      <c r="E71" t="str">
        <v>nej</v>
      </c>
      <c r="F71" t="str">
        <v/>
      </c>
      <c r="G71" t="str">
        <v/>
      </c>
      <c r="H71" t="str">
        <v/>
      </c>
      <c r="I71" t="str">
        <v/>
      </c>
      <c r="J71" t="str">
        <v/>
      </c>
      <c r="K71" t="str">
        <v/>
      </c>
      <c r="L71" t="str">
        <v/>
      </c>
      <c r="M71" t="str">
        <v/>
      </c>
    </row>
    <row r="72">
      <c r="A72" t="str">
        <v>entre</v>
      </c>
      <c r="B72" t="str">
        <v>hatthylla</v>
      </c>
      <c r="C72">
        <v>130</v>
      </c>
      <c r="D72" t="str">
        <v/>
      </c>
      <c r="E72" t="str">
        <v>nej</v>
      </c>
      <c r="F72" t="str">
        <v/>
      </c>
      <c r="G72" t="str">
        <v/>
      </c>
      <c r="H72" t="str">
        <v/>
      </c>
      <c r="I72" t="str">
        <v/>
      </c>
      <c r="J72" t="str">
        <v/>
      </c>
      <c r="K72" t="str">
        <v/>
      </c>
      <c r="L72" t="str">
        <v/>
      </c>
      <c r="M72" t="str">
        <v/>
      </c>
    </row>
    <row r="73">
      <c r="A73" t="str">
        <v>entre</v>
      </c>
      <c r="B73" t="str">
        <v>entre_klinker</v>
      </c>
      <c r="C73">
        <v>140</v>
      </c>
      <c r="D73" t="str">
        <v/>
      </c>
      <c r="E73" t="str">
        <v>ja</v>
      </c>
      <c r="F73" t="str">
        <v/>
      </c>
      <c r="G73">
        <v>2</v>
      </c>
      <c r="H73" t="str">
        <v/>
      </c>
      <c r="I73" t="str">
        <v/>
      </c>
      <c r="J73" t="str">
        <v/>
      </c>
      <c r="K73" t="str">
        <v/>
      </c>
      <c r="L73" t="str">
        <v/>
      </c>
      <c r="M73" t="str">
        <v/>
      </c>
    </row>
    <row r="74">
      <c r="A74" t="str">
        <v>entre</v>
      </c>
      <c r="B74" t="str">
        <v>entre_klinker__rivning</v>
      </c>
      <c r="C74">
        <v>150</v>
      </c>
      <c r="D74" t="str">
        <v/>
      </c>
      <c r="E74" t="str">
        <v>ja</v>
      </c>
      <c r="F74" t="str">
        <v/>
      </c>
      <c r="G74" t="str">
        <v/>
      </c>
      <c r="H74" t="str">
        <v>A</v>
      </c>
      <c r="I74" t="str">
        <v>entre_klinker</v>
      </c>
      <c r="J74" t="str">
        <v/>
      </c>
      <c r="K74" t="str">
        <v/>
      </c>
      <c r="L74" t="str">
        <v>nej</v>
      </c>
      <c r="M74" t="str">
        <v>ja</v>
      </c>
    </row>
    <row r="75">
      <c r="A75" t="str">
        <v>entre</v>
      </c>
      <c r="B75" t="str">
        <v>entre_klinker__spackling</v>
      </c>
      <c r="C75">
        <v>151</v>
      </c>
      <c r="D75" t="str">
        <v/>
      </c>
      <c r="E75" t="str">
        <v>ja</v>
      </c>
      <c r="F75" t="str">
        <v/>
      </c>
      <c r="G75" t="str">
        <v/>
      </c>
      <c r="H75" t="str">
        <v>A</v>
      </c>
      <c r="I75" t="str">
        <v>entre_klinker</v>
      </c>
      <c r="J75" t="str">
        <v/>
      </c>
      <c r="K75" t="str">
        <v/>
      </c>
      <c r="L75" t="str">
        <v>nej</v>
      </c>
      <c r="M75" t="str">
        <v>ja</v>
      </c>
    </row>
    <row r="76">
      <c r="A76" t="str">
        <v>entre</v>
      </c>
      <c r="B76" t="str">
        <v>ytterdorr</v>
      </c>
      <c r="C76">
        <v>160</v>
      </c>
      <c r="D76" t="str">
        <v/>
      </c>
      <c r="E76" t="str">
        <v>nej</v>
      </c>
      <c r="F76" t="str">
        <v/>
      </c>
      <c r="G76" t="str">
        <v/>
      </c>
      <c r="H76" t="str">
        <v/>
      </c>
      <c r="I76" t="str">
        <v/>
      </c>
      <c r="J76" t="str">
        <v/>
      </c>
      <c r="K76" t="str">
        <v/>
      </c>
      <c r="L76" t="str">
        <v/>
      </c>
      <c r="M76" t="str">
        <v/>
      </c>
    </row>
    <row r="77">
      <c r="A77" t="str">
        <v>entre</v>
      </c>
      <c r="B77" t="str">
        <v>skyddstackning</v>
      </c>
      <c r="C77">
        <v>170</v>
      </c>
      <c r="D77" t="str">
        <v/>
      </c>
      <c r="E77" t="str">
        <v>ja</v>
      </c>
      <c r="F77" t="str">
        <v/>
      </c>
      <c r="G77" t="str">
        <v/>
      </c>
      <c r="H77" t="str">
        <v>B</v>
      </c>
      <c r="I77" t="str">
        <v/>
      </c>
      <c r="J77" t="str">
        <v>malning_tak,malning_vagg</v>
      </c>
      <c r="K77" t="str">
        <v>Målning</v>
      </c>
      <c r="L77" t="str">
        <v/>
      </c>
      <c r="M77" t="str">
        <v/>
      </c>
    </row>
    <row r="78">
      <c r="A78" t="str">
        <v>entre</v>
      </c>
      <c r="B78" t="str">
        <v>sockel</v>
      </c>
      <c r="C78">
        <v>180</v>
      </c>
      <c r="D78" t="str">
        <v/>
      </c>
      <c r="E78" t="str">
        <v>nej</v>
      </c>
      <c r="F78" t="str">
        <v/>
      </c>
      <c r="G78" t="str">
        <v/>
      </c>
      <c r="H78" t="str">
        <v/>
      </c>
      <c r="I78" t="str">
        <v/>
      </c>
      <c r="J78" t="str">
        <v/>
      </c>
      <c r="K78" t="str">
        <v/>
      </c>
      <c r="L78" t="str">
        <v/>
      </c>
      <c r="M78" t="str">
        <v/>
      </c>
    </row>
    <row r="79">
      <c r="A79" t="str">
        <v>entre</v>
      </c>
      <c r="B79" t="str">
        <v>taklist</v>
      </c>
      <c r="C79">
        <v>190</v>
      </c>
      <c r="D79" t="str">
        <v/>
      </c>
      <c r="E79" t="str">
        <v>nej</v>
      </c>
      <c r="F79" t="str">
        <v/>
      </c>
      <c r="G79" t="str">
        <v/>
      </c>
      <c r="H79" t="str">
        <v/>
      </c>
      <c r="I79" t="str">
        <v/>
      </c>
      <c r="J79" t="str">
        <v/>
      </c>
      <c r="K79" t="str">
        <v/>
      </c>
      <c r="L79" t="str">
        <v/>
      </c>
      <c r="M79" t="str">
        <v/>
      </c>
    </row>
    <row r="80">
      <c r="A80" t="str">
        <v>kok</v>
      </c>
      <c r="B80" t="str">
        <v>kok_standard</v>
      </c>
      <c r="C80">
        <v>10</v>
      </c>
      <c r="D80" t="str">
        <v>kok</v>
      </c>
      <c r="E80" t="str">
        <v>nej</v>
      </c>
      <c r="F80" t="str">
        <v/>
      </c>
      <c r="G80" t="str">
        <v/>
      </c>
      <c r="H80" t="str">
        <v/>
      </c>
      <c r="I80" t="str">
        <v/>
      </c>
      <c r="J80" t="str">
        <v/>
      </c>
      <c r="K80" t="str">
        <v/>
      </c>
      <c r="L80" t="str">
        <v/>
      </c>
      <c r="M80" t="str">
        <v/>
      </c>
    </row>
    <row r="81">
      <c r="A81" t="str">
        <v>kok</v>
      </c>
      <c r="B81" t="str">
        <v>kok_plus</v>
      </c>
      <c r="C81">
        <v>20</v>
      </c>
      <c r="D81" t="str">
        <v>kok</v>
      </c>
      <c r="E81" t="str">
        <v>nej</v>
      </c>
      <c r="F81" t="str">
        <v/>
      </c>
      <c r="G81" t="str">
        <v/>
      </c>
      <c r="H81" t="str">
        <v/>
      </c>
      <c r="I81" t="str">
        <v/>
      </c>
      <c r="J81" t="str">
        <v/>
      </c>
      <c r="K81" t="str">
        <v/>
      </c>
      <c r="L81" t="str">
        <v/>
      </c>
      <c r="M81" t="str">
        <v/>
      </c>
    </row>
    <row r="82">
      <c r="A82" t="str">
        <v>kok</v>
      </c>
      <c r="B82" t="str">
        <v>golv_ekparkett</v>
      </c>
      <c r="C82">
        <v>30</v>
      </c>
      <c r="D82" t="str">
        <v>golv</v>
      </c>
      <c r="E82" t="str">
        <v>nej</v>
      </c>
      <c r="F82" t="str">
        <v/>
      </c>
      <c r="G82" t="str">
        <v/>
      </c>
      <c r="H82" t="str">
        <v/>
      </c>
      <c r="I82" t="str">
        <v/>
      </c>
      <c r="J82" t="str">
        <v/>
      </c>
      <c r="K82" t="str">
        <v/>
      </c>
      <c r="L82" t="str">
        <v/>
      </c>
      <c r="M82" t="str">
        <v/>
      </c>
    </row>
    <row r="83">
      <c r="A83" t="str">
        <v>kok</v>
      </c>
      <c r="B83" t="str">
        <v>golv_ekparkett__rivning</v>
      </c>
      <c r="C83">
        <v>40</v>
      </c>
      <c r="D83" t="str">
        <v/>
      </c>
      <c r="E83" t="str">
        <v>ja</v>
      </c>
      <c r="F83" t="str">
        <v/>
      </c>
      <c r="G83" t="str">
        <v/>
      </c>
      <c r="H83" t="str">
        <v>A</v>
      </c>
      <c r="I83" t="str">
        <v>golv_ekparkett</v>
      </c>
      <c r="J83" t="str">
        <v/>
      </c>
      <c r="K83" t="str">
        <v/>
      </c>
      <c r="L83" t="str">
        <v>ja</v>
      </c>
      <c r="M83" t="str">
        <v>nej</v>
      </c>
    </row>
    <row r="84">
      <c r="A84" t="str">
        <v>kok</v>
      </c>
      <c r="B84" t="str">
        <v>golv_ekparkett__spackling</v>
      </c>
      <c r="C84">
        <v>41</v>
      </c>
      <c r="D84" t="str">
        <v/>
      </c>
      <c r="E84" t="str">
        <v>nej</v>
      </c>
      <c r="F84" t="str">
        <v/>
      </c>
      <c r="G84" t="str">
        <v/>
      </c>
      <c r="H84" t="str">
        <v>A</v>
      </c>
      <c r="I84" t="str">
        <v>golv_ekparkett</v>
      </c>
      <c r="J84" t="str">
        <v/>
      </c>
      <c r="K84" t="str">
        <v/>
      </c>
      <c r="L84" t="str">
        <v>ja</v>
      </c>
      <c r="M84" t="str">
        <v>nej</v>
      </c>
    </row>
    <row r="85">
      <c r="A85" t="str">
        <v>kok</v>
      </c>
      <c r="B85" t="str">
        <v>golv_klickvinyl</v>
      </c>
      <c r="C85">
        <v>50</v>
      </c>
      <c r="D85" t="str">
        <v>golv</v>
      </c>
      <c r="E85" t="str">
        <v>nej</v>
      </c>
      <c r="F85" t="str">
        <v/>
      </c>
      <c r="G85" t="str">
        <v/>
      </c>
      <c r="H85" t="str">
        <v/>
      </c>
      <c r="I85" t="str">
        <v/>
      </c>
      <c r="J85" t="str">
        <v/>
      </c>
      <c r="K85" t="str">
        <v/>
      </c>
      <c r="L85" t="str">
        <v/>
      </c>
      <c r="M85" t="str">
        <v/>
      </c>
    </row>
    <row r="86">
      <c r="A86" t="str">
        <v>kok</v>
      </c>
      <c r="B86" t="str">
        <v>golv_klickvinyl__rivning</v>
      </c>
      <c r="C86">
        <v>60</v>
      </c>
      <c r="D86" t="str">
        <v/>
      </c>
      <c r="E86" t="str">
        <v>ja</v>
      </c>
      <c r="F86" t="str">
        <v/>
      </c>
      <c r="G86" t="str">
        <v/>
      </c>
      <c r="H86" t="str">
        <v>A</v>
      </c>
      <c r="I86" t="str">
        <v>golv_klickvinyl</v>
      </c>
      <c r="J86" t="str">
        <v/>
      </c>
      <c r="K86" t="str">
        <v/>
      </c>
      <c r="L86" t="str">
        <v>ja</v>
      </c>
      <c r="M86" t="str">
        <v>nej</v>
      </c>
    </row>
    <row r="87">
      <c r="A87" t="str">
        <v>kok</v>
      </c>
      <c r="B87" t="str">
        <v>golv_klickvinyl__spackling</v>
      </c>
      <c r="C87">
        <v>61</v>
      </c>
      <c r="D87" t="str">
        <v/>
      </c>
      <c r="E87" t="str">
        <v>nej</v>
      </c>
      <c r="F87" t="str">
        <v/>
      </c>
      <c r="G87" t="str">
        <v/>
      </c>
      <c r="H87" t="str">
        <v>A</v>
      </c>
      <c r="I87" t="str">
        <v>golv_klickvinyl</v>
      </c>
      <c r="J87" t="str">
        <v/>
      </c>
      <c r="K87" t="str">
        <v/>
      </c>
      <c r="L87" t="str">
        <v>ja</v>
      </c>
      <c r="M87" t="str">
        <v>nej</v>
      </c>
    </row>
    <row r="88">
      <c r="A88" t="str">
        <v>kok</v>
      </c>
      <c r="B88" t="str">
        <v>golv_matta</v>
      </c>
      <c r="C88">
        <v>70</v>
      </c>
      <c r="D88" t="str">
        <v>golv</v>
      </c>
      <c r="E88" t="str">
        <v>nej</v>
      </c>
      <c r="F88" t="str">
        <v/>
      </c>
      <c r="G88" t="str">
        <v/>
      </c>
      <c r="H88" t="str">
        <v/>
      </c>
      <c r="I88" t="str">
        <v/>
      </c>
      <c r="J88" t="str">
        <v/>
      </c>
      <c r="K88" t="str">
        <v/>
      </c>
      <c r="L88" t="str">
        <v/>
      </c>
      <c r="M88" t="str">
        <v/>
      </c>
    </row>
    <row r="89">
      <c r="A89" t="str">
        <v>kok</v>
      </c>
      <c r="B89" t="str">
        <v>golv_matta__rivning</v>
      </c>
      <c r="C89">
        <v>80</v>
      </c>
      <c r="D89" t="str">
        <v/>
      </c>
      <c r="E89" t="str">
        <v>ja</v>
      </c>
      <c r="F89" t="str">
        <v/>
      </c>
      <c r="G89" t="str">
        <v/>
      </c>
      <c r="H89" t="str">
        <v>A</v>
      </c>
      <c r="I89" t="str">
        <v>golv_matta</v>
      </c>
      <c r="J89" t="str">
        <v/>
      </c>
      <c r="K89" t="str">
        <v/>
      </c>
      <c r="L89" t="str">
        <v>ja</v>
      </c>
      <c r="M89" t="str">
        <v>nej</v>
      </c>
    </row>
    <row r="90">
      <c r="A90" t="str">
        <v>kok</v>
      </c>
      <c r="B90" t="str">
        <v>golv_matta__spackling</v>
      </c>
      <c r="C90">
        <v>81</v>
      </c>
      <c r="D90" t="str">
        <v/>
      </c>
      <c r="E90" t="str">
        <v>nej</v>
      </c>
      <c r="F90" t="str">
        <v/>
      </c>
      <c r="G90" t="str">
        <v/>
      </c>
      <c r="H90" t="str">
        <v>A</v>
      </c>
      <c r="I90" t="str">
        <v>golv_matta</v>
      </c>
      <c r="J90" t="str">
        <v/>
      </c>
      <c r="K90" t="str">
        <v/>
      </c>
      <c r="L90" t="str">
        <v>ja</v>
      </c>
      <c r="M90" t="str">
        <v>nej</v>
      </c>
    </row>
    <row r="91">
      <c r="A91" t="str">
        <v>kok</v>
      </c>
      <c r="B91" t="str">
        <v>malning_tak</v>
      </c>
      <c r="C91">
        <v>90</v>
      </c>
      <c r="D91" t="str">
        <v/>
      </c>
      <c r="E91" t="str">
        <v>nej</v>
      </c>
      <c r="F91" t="str">
        <v/>
      </c>
      <c r="G91" t="str">
        <v/>
      </c>
      <c r="H91" t="str">
        <v/>
      </c>
      <c r="I91" t="str">
        <v/>
      </c>
      <c r="J91" t="str">
        <v/>
      </c>
      <c r="K91" t="str">
        <v/>
      </c>
      <c r="L91" t="str">
        <v/>
      </c>
      <c r="M91" t="str">
        <v/>
      </c>
    </row>
    <row r="92">
      <c r="A92" t="str">
        <v>kok</v>
      </c>
      <c r="B92" t="str">
        <v>malning_vagg</v>
      </c>
      <c r="C92">
        <v>100</v>
      </c>
      <c r="D92" t="str">
        <v/>
      </c>
      <c r="E92" t="str">
        <v>nej</v>
      </c>
      <c r="F92" t="str">
        <v/>
      </c>
      <c r="G92" t="str">
        <v/>
      </c>
      <c r="H92" t="str">
        <v/>
      </c>
      <c r="I92" t="str">
        <v/>
      </c>
      <c r="J92" t="str">
        <v/>
      </c>
      <c r="K92" t="str">
        <v/>
      </c>
      <c r="L92" t="str">
        <v/>
      </c>
      <c r="M92" t="str">
        <v/>
      </c>
    </row>
    <row r="93">
      <c r="A93" t="str">
        <v>kok</v>
      </c>
      <c r="B93" t="str">
        <v>innerdorr</v>
      </c>
      <c r="C93">
        <v>110</v>
      </c>
      <c r="D93" t="str">
        <v>innerdorr</v>
      </c>
      <c r="E93" t="str">
        <v>nej</v>
      </c>
      <c r="F93" t="str">
        <v/>
      </c>
      <c r="G93" t="str">
        <v/>
      </c>
      <c r="H93" t="str">
        <v/>
      </c>
      <c r="I93" t="str">
        <v/>
      </c>
      <c r="J93" t="str">
        <v/>
      </c>
      <c r="K93" t="str">
        <v/>
      </c>
      <c r="L93" t="str">
        <v/>
      </c>
      <c r="M93" t="str">
        <v/>
      </c>
    </row>
    <row r="94">
      <c r="A94" t="str">
        <v>kok</v>
      </c>
      <c r="B94" t="str">
        <v>innerdorr_malning</v>
      </c>
      <c r="C94">
        <v>120</v>
      </c>
      <c r="D94" t="str">
        <v>innerdorr</v>
      </c>
      <c r="E94" t="str">
        <v>nej</v>
      </c>
      <c r="F94" t="str">
        <v/>
      </c>
      <c r="G94" t="str">
        <v/>
      </c>
      <c r="H94" t="str">
        <v/>
      </c>
      <c r="I94" t="str">
        <v/>
      </c>
      <c r="J94" t="str">
        <v/>
      </c>
      <c r="K94" t="str">
        <v/>
      </c>
      <c r="L94" t="str">
        <v/>
      </c>
      <c r="M94" t="str">
        <v/>
      </c>
    </row>
    <row r="95">
      <c r="A95" t="str">
        <v>kok</v>
      </c>
      <c r="B95" t="str">
        <v>fonster_malning</v>
      </c>
      <c r="C95">
        <v>130</v>
      </c>
      <c r="D95" t="str">
        <v/>
      </c>
      <c r="E95" t="str">
        <v>nej</v>
      </c>
      <c r="F95" t="str">
        <v/>
      </c>
      <c r="G95" t="str">
        <v/>
      </c>
      <c r="H95" t="str">
        <v/>
      </c>
      <c r="I95" t="str">
        <v/>
      </c>
      <c r="J95" t="str">
        <v/>
      </c>
      <c r="K95" t="str">
        <v/>
      </c>
      <c r="L95" t="str">
        <v/>
      </c>
      <c r="M95" t="str">
        <v/>
      </c>
    </row>
    <row r="96">
      <c r="A96" t="str">
        <v>kok</v>
      </c>
      <c r="B96" t="str">
        <v>skyddstackning</v>
      </c>
      <c r="C96">
        <v>140</v>
      </c>
      <c r="D96" t="str">
        <v/>
      </c>
      <c r="E96" t="str">
        <v>ja</v>
      </c>
      <c r="F96" t="str">
        <v/>
      </c>
      <c r="G96" t="str">
        <v/>
      </c>
      <c r="H96" t="str">
        <v>B</v>
      </c>
      <c r="I96" t="str">
        <v/>
      </c>
      <c r="J96" t="str">
        <v>malning_tak,malning_vagg</v>
      </c>
      <c r="K96" t="str">
        <v>Målning</v>
      </c>
      <c r="L96" t="str">
        <v/>
      </c>
      <c r="M96" t="str">
        <v/>
      </c>
    </row>
    <row r="97">
      <c r="A97" t="str">
        <v>kok</v>
      </c>
      <c r="B97" t="str">
        <v>sockel</v>
      </c>
      <c r="C97">
        <v>150</v>
      </c>
      <c r="D97" t="str">
        <v/>
      </c>
      <c r="E97" t="str">
        <v>nej</v>
      </c>
      <c r="F97" t="str">
        <v/>
      </c>
      <c r="G97" t="str">
        <v/>
      </c>
      <c r="H97" t="str">
        <v/>
      </c>
      <c r="I97" t="str">
        <v/>
      </c>
      <c r="J97" t="str">
        <v/>
      </c>
      <c r="K97" t="str">
        <v/>
      </c>
      <c r="L97" t="str">
        <v/>
      </c>
      <c r="M97" t="str">
        <v/>
      </c>
    </row>
    <row r="98">
      <c r="A98" t="str">
        <v>kok</v>
      </c>
      <c r="B98" t="str">
        <v>taklist</v>
      </c>
      <c r="C98">
        <v>160</v>
      </c>
      <c r="D98" t="str">
        <v/>
      </c>
      <c r="E98" t="str">
        <v>nej</v>
      </c>
      <c r="F98" t="str">
        <v/>
      </c>
      <c r="G98" t="str">
        <v/>
      </c>
      <c r="H98" t="str">
        <v/>
      </c>
      <c r="I98" t="str">
        <v/>
      </c>
      <c r="J98" t="str">
        <v/>
      </c>
      <c r="K98" t="str">
        <v/>
      </c>
      <c r="L98" t="str">
        <v/>
      </c>
      <c r="M98" t="str">
        <v/>
      </c>
    </row>
    <row r="99">
      <c r="A99" t="str">
        <v>badrum</v>
      </c>
      <c r="B99" t="str">
        <v>badrum_golv_klinker</v>
      </c>
      <c r="C99">
        <v>10</v>
      </c>
      <c r="D99" t="str">
        <v>badrum_golv</v>
      </c>
      <c r="E99" t="str">
        <v>nej</v>
      </c>
      <c r="F99" t="str">
        <v/>
      </c>
      <c r="G99" t="str">
        <v/>
      </c>
      <c r="H99" t="str">
        <v/>
      </c>
      <c r="I99" t="str">
        <v/>
      </c>
      <c r="J99" t="str">
        <v/>
      </c>
      <c r="K99" t="str">
        <v/>
      </c>
      <c r="L99" t="str">
        <v/>
      </c>
      <c r="M99" t="str">
        <v/>
      </c>
    </row>
    <row r="100">
      <c r="A100" t="str">
        <v>badrum</v>
      </c>
      <c r="B100" t="str">
        <v>badrum_golv_plastmatta</v>
      </c>
      <c r="C100">
        <v>20</v>
      </c>
      <c r="D100" t="str">
        <v>badrum_golv</v>
      </c>
      <c r="E100" t="str">
        <v>nej</v>
      </c>
      <c r="F100" t="str">
        <v/>
      </c>
      <c r="G100" t="str">
        <v/>
      </c>
      <c r="H100" t="str">
        <v/>
      </c>
      <c r="I100" t="str">
        <v/>
      </c>
      <c r="J100" t="str">
        <v/>
      </c>
      <c r="K100" t="str">
        <v/>
      </c>
      <c r="L100" t="str">
        <v/>
      </c>
      <c r="M100" t="str">
        <v/>
      </c>
    </row>
    <row r="101">
      <c r="A101" t="str">
        <v>badrum</v>
      </c>
      <c r="B101" t="str">
        <v>badrum_vagg_kakel</v>
      </c>
      <c r="C101">
        <v>30</v>
      </c>
      <c r="D101" t="str">
        <v>badrum_vagg</v>
      </c>
      <c r="E101" t="str">
        <v>nej</v>
      </c>
      <c r="F101" t="str">
        <v/>
      </c>
      <c r="G101" t="str">
        <v/>
      </c>
      <c r="H101" t="str">
        <v/>
      </c>
      <c r="I101" t="str">
        <v/>
      </c>
      <c r="J101" t="str">
        <v/>
      </c>
      <c r="K101" t="str">
        <v/>
      </c>
      <c r="L101" t="str">
        <v/>
      </c>
      <c r="M101" t="str">
        <v/>
      </c>
    </row>
    <row r="102">
      <c r="A102" t="str">
        <v>badrum</v>
      </c>
      <c r="B102" t="str">
        <v>badrum_vagg_plastmatta</v>
      </c>
      <c r="C102">
        <v>40</v>
      </c>
      <c r="D102" t="str">
        <v>badrum_vagg</v>
      </c>
      <c r="E102" t="str">
        <v>nej</v>
      </c>
      <c r="F102" t="str">
        <v/>
      </c>
      <c r="G102" t="str">
        <v/>
      </c>
      <c r="H102" t="str">
        <v/>
      </c>
      <c r="I102" t="str">
        <v/>
      </c>
      <c r="J102" t="str">
        <v/>
      </c>
      <c r="K102" t="str">
        <v/>
      </c>
      <c r="L102" t="str">
        <v/>
      </c>
      <c r="M102" t="str">
        <v/>
      </c>
    </row>
    <row r="103">
      <c r="A103" t="str">
        <v>badrum</v>
      </c>
      <c r="B103" t="str">
        <v>badrum_vagg_farg</v>
      </c>
      <c r="C103">
        <v>50</v>
      </c>
      <c r="D103" t="str">
        <v>badrum_vagg</v>
      </c>
      <c r="E103" t="str">
        <v>nej</v>
      </c>
      <c r="F103" t="str">
        <v/>
      </c>
      <c r="G103" t="str">
        <v/>
      </c>
      <c r="H103" t="str">
        <v/>
      </c>
      <c r="I103" t="str">
        <v/>
      </c>
      <c r="J103" t="str">
        <v/>
      </c>
      <c r="K103" t="str">
        <v/>
      </c>
      <c r="L103" t="str">
        <v/>
      </c>
      <c r="M103" t="str">
        <v/>
      </c>
    </row>
    <row r="104">
      <c r="A104" t="str">
        <v>badrum</v>
      </c>
      <c r="B104" t="str">
        <v>badrum_dorr</v>
      </c>
      <c r="C104">
        <v>80</v>
      </c>
      <c r="D104" t="str">
        <v/>
      </c>
      <c r="E104" t="str">
        <v>ja</v>
      </c>
      <c r="F104">
        <v>1</v>
      </c>
      <c r="G104" t="str">
        <v/>
      </c>
      <c r="H104" t="str">
        <v/>
      </c>
      <c r="I104" t="str">
        <v/>
      </c>
      <c r="J104" t="str">
        <v/>
      </c>
      <c r="K104" t="str">
        <v/>
      </c>
      <c r="L104" t="str">
        <v/>
      </c>
      <c r="M104" t="str">
        <v/>
      </c>
    </row>
    <row r="105">
      <c r="A105" t="str">
        <v>badrum</v>
      </c>
      <c r="B105" t="str">
        <v>badrum_ue_el</v>
      </c>
      <c r="C105">
        <v>90</v>
      </c>
      <c r="D105" t="str">
        <v/>
      </c>
      <c r="E105" t="str">
        <v>ja</v>
      </c>
      <c r="F105">
        <v>1</v>
      </c>
      <c r="G105" t="str">
        <v/>
      </c>
      <c r="H105" t="str">
        <v/>
      </c>
      <c r="I105" t="str">
        <v/>
      </c>
      <c r="J105" t="str">
        <v/>
      </c>
      <c r="K105" t="str">
        <v/>
      </c>
      <c r="L105" t="str">
        <v/>
      </c>
      <c r="M105" t="str">
        <v/>
      </c>
    </row>
    <row r="106">
      <c r="A106" t="str">
        <v>badrum</v>
      </c>
      <c r="B106" t="str">
        <v>badrum_ue_vs</v>
      </c>
      <c r="C106">
        <v>100</v>
      </c>
      <c r="D106" t="str">
        <v/>
      </c>
      <c r="E106" t="str">
        <v>ja</v>
      </c>
      <c r="F106">
        <v>1</v>
      </c>
      <c r="G106" t="str">
        <v/>
      </c>
      <c r="H106" t="str">
        <v/>
      </c>
      <c r="I106" t="str">
        <v/>
      </c>
      <c r="J106" t="str">
        <v/>
      </c>
      <c r="K106" t="str">
        <v/>
      </c>
      <c r="L106" t="str">
        <v/>
      </c>
      <c r="M106" t="str">
        <v/>
      </c>
    </row>
    <row r="107">
      <c r="A107" t="str">
        <v>badrum</v>
      </c>
      <c r="B107" t="str">
        <v>skyddstackning</v>
      </c>
      <c r="C107">
        <v>110</v>
      </c>
      <c r="D107" t="str">
        <v/>
      </c>
      <c r="E107" t="str">
        <v>ja</v>
      </c>
      <c r="F107" t="str">
        <v/>
      </c>
      <c r="G107" t="str">
        <v/>
      </c>
      <c r="H107" t="str">
        <v>B</v>
      </c>
      <c r="I107" t="str">
        <v/>
      </c>
      <c r="J107" t="str">
        <v>malning_tak,malning_vagg</v>
      </c>
      <c r="K107" t="str">
        <v>Målning</v>
      </c>
      <c r="L107" t="str">
        <v/>
      </c>
      <c r="M107" t="str">
        <v/>
      </c>
    </row>
    <row r="108">
      <c r="A108" t="str">
        <v>badrum</v>
      </c>
      <c r="B108" t="str">
        <v>badrum_rivning</v>
      </c>
      <c r="C108">
        <v>120</v>
      </c>
      <c r="D108" t="str">
        <v/>
      </c>
      <c r="E108" t="str">
        <v>ja</v>
      </c>
      <c r="F108" t="str">
        <v/>
      </c>
      <c r="G108" t="str">
        <v/>
      </c>
      <c r="H108" t="str">
        <v>B</v>
      </c>
      <c r="I108" t="str">
        <v/>
      </c>
      <c r="J108" t="str">
        <v/>
      </c>
      <c r="K108" t="str">
        <v>Golv</v>
      </c>
      <c r="L108" t="str">
        <v/>
      </c>
      <c r="M108" t="str">
        <v/>
      </c>
    </row>
    <row r="109">
      <c r="A109" t="str">
        <v>badrum</v>
      </c>
      <c r="B109" t="str">
        <v>badrum_fallspackling</v>
      </c>
      <c r="C109">
        <v>130</v>
      </c>
      <c r="D109" t="str">
        <v/>
      </c>
      <c r="E109" t="str">
        <v>ja</v>
      </c>
      <c r="F109" t="str">
        <v/>
      </c>
      <c r="G109" t="str">
        <v/>
      </c>
      <c r="H109" t="str">
        <v>B</v>
      </c>
      <c r="I109" t="str">
        <v/>
      </c>
      <c r="J109" t="str">
        <v/>
      </c>
      <c r="K109" t="str">
        <v>Golv</v>
      </c>
      <c r="L109" t="str">
        <v/>
      </c>
      <c r="M109" t="str">
        <v/>
      </c>
    </row>
    <row r="110">
      <c r="A110" t="str">
        <v>toalett</v>
      </c>
      <c r="B110" t="str">
        <v>golv_klickvinyl</v>
      </c>
      <c r="C110">
        <v>10</v>
      </c>
      <c r="D110" t="str">
        <v>golv</v>
      </c>
      <c r="E110" t="str">
        <v>nej</v>
      </c>
      <c r="F110" t="str">
        <v/>
      </c>
      <c r="G110" t="str">
        <v/>
      </c>
      <c r="H110" t="str">
        <v/>
      </c>
      <c r="I110" t="str">
        <v/>
      </c>
      <c r="J110" t="str">
        <v/>
      </c>
      <c r="K110" t="str">
        <v/>
      </c>
      <c r="L110" t="str">
        <v/>
      </c>
      <c r="M110" t="str">
        <v/>
      </c>
    </row>
    <row r="111">
      <c r="A111" t="str">
        <v>toalett</v>
      </c>
      <c r="B111" t="str">
        <v>golv_klickvinyl__rivning</v>
      </c>
      <c r="C111">
        <v>20</v>
      </c>
      <c r="D111" t="str">
        <v/>
      </c>
      <c r="E111" t="str">
        <v>ja</v>
      </c>
      <c r="F111" t="str">
        <v/>
      </c>
      <c r="G111" t="str">
        <v/>
      </c>
      <c r="H111" t="str">
        <v>A</v>
      </c>
      <c r="I111" t="str">
        <v>golv_klickvinyl</v>
      </c>
      <c r="J111" t="str">
        <v/>
      </c>
      <c r="K111" t="str">
        <v/>
      </c>
      <c r="L111" t="str">
        <v>ja</v>
      </c>
      <c r="M111" t="str">
        <v>nej</v>
      </c>
    </row>
    <row r="112">
      <c r="A112" t="str">
        <v>toalett</v>
      </c>
      <c r="B112" t="str">
        <v>golv_klickvinyl__spackling</v>
      </c>
      <c r="C112">
        <v>21</v>
      </c>
      <c r="D112" t="str">
        <v/>
      </c>
      <c r="E112" t="str">
        <v>nej</v>
      </c>
      <c r="F112" t="str">
        <v/>
      </c>
      <c r="G112" t="str">
        <v/>
      </c>
      <c r="H112" t="str">
        <v>A</v>
      </c>
      <c r="I112" t="str">
        <v>golv_klickvinyl</v>
      </c>
      <c r="J112" t="str">
        <v/>
      </c>
      <c r="K112" t="str">
        <v/>
      </c>
      <c r="L112" t="str">
        <v>ja</v>
      </c>
      <c r="M112" t="str">
        <v>nej</v>
      </c>
    </row>
    <row r="113">
      <c r="A113" t="str">
        <v>toalett</v>
      </c>
      <c r="B113" t="str">
        <v>golv_matta</v>
      </c>
      <c r="C113">
        <v>30</v>
      </c>
      <c r="D113" t="str">
        <v>golv</v>
      </c>
      <c r="E113" t="str">
        <v>nej</v>
      </c>
      <c r="F113" t="str">
        <v/>
      </c>
      <c r="G113" t="str">
        <v/>
      </c>
      <c r="H113" t="str">
        <v/>
      </c>
      <c r="I113" t="str">
        <v/>
      </c>
      <c r="J113" t="str">
        <v/>
      </c>
      <c r="K113" t="str">
        <v/>
      </c>
      <c r="L113" t="str">
        <v/>
      </c>
      <c r="M113" t="str">
        <v/>
      </c>
    </row>
    <row r="114">
      <c r="A114" t="str">
        <v>toalett</v>
      </c>
      <c r="B114" t="str">
        <v>golv_matta__rivning</v>
      </c>
      <c r="C114">
        <v>40</v>
      </c>
      <c r="D114" t="str">
        <v/>
      </c>
      <c r="E114" t="str">
        <v>ja</v>
      </c>
      <c r="F114" t="str">
        <v/>
      </c>
      <c r="G114" t="str">
        <v/>
      </c>
      <c r="H114" t="str">
        <v>A</v>
      </c>
      <c r="I114" t="str">
        <v>golv_matta</v>
      </c>
      <c r="J114" t="str">
        <v/>
      </c>
      <c r="K114" t="str">
        <v/>
      </c>
      <c r="L114" t="str">
        <v>ja</v>
      </c>
      <c r="M114" t="str">
        <v>nej</v>
      </c>
    </row>
    <row r="115">
      <c r="A115" t="str">
        <v>toalett</v>
      </c>
      <c r="B115" t="str">
        <v>golv_matta__spackling</v>
      </c>
      <c r="C115">
        <v>41</v>
      </c>
      <c r="D115" t="str">
        <v/>
      </c>
      <c r="E115" t="str">
        <v>nej</v>
      </c>
      <c r="F115" t="str">
        <v/>
      </c>
      <c r="G115" t="str">
        <v/>
      </c>
      <c r="H115" t="str">
        <v>A</v>
      </c>
      <c r="I115" t="str">
        <v>golv_matta</v>
      </c>
      <c r="J115" t="str">
        <v/>
      </c>
      <c r="K115" t="str">
        <v/>
      </c>
      <c r="L115" t="str">
        <v>ja</v>
      </c>
      <c r="M115" t="str">
        <v>nej</v>
      </c>
    </row>
    <row r="116">
      <c r="A116" t="str">
        <v>toalett</v>
      </c>
      <c r="B116" t="str">
        <v>golv_klinker</v>
      </c>
      <c r="C116">
        <v>50</v>
      </c>
      <c r="D116" t="str">
        <v>golv</v>
      </c>
      <c r="E116" t="str">
        <v>nej</v>
      </c>
      <c r="F116" t="str">
        <v/>
      </c>
      <c r="G116" t="str">
        <v/>
      </c>
      <c r="H116" t="str">
        <v/>
      </c>
      <c r="I116" t="str">
        <v/>
      </c>
      <c r="J116" t="str">
        <v/>
      </c>
      <c r="K116" t="str">
        <v/>
      </c>
      <c r="L116" t="str">
        <v/>
      </c>
      <c r="M116" t="str">
        <v/>
      </c>
    </row>
    <row r="117">
      <c r="A117" t="str">
        <v>toalett</v>
      </c>
      <c r="B117" t="str">
        <v>golv_klinker__rivning</v>
      </c>
      <c r="C117">
        <v>60</v>
      </c>
      <c r="D117" t="str">
        <v/>
      </c>
      <c r="E117" t="str">
        <v>ja</v>
      </c>
      <c r="F117" t="str">
        <v/>
      </c>
      <c r="G117" t="str">
        <v/>
      </c>
      <c r="H117" t="str">
        <v>A</v>
      </c>
      <c r="I117" t="str">
        <v>golv_klinker</v>
      </c>
      <c r="J117" t="str">
        <v/>
      </c>
      <c r="K117" t="str">
        <v/>
      </c>
      <c r="L117" t="str">
        <v>ja</v>
      </c>
      <c r="M117" t="str">
        <v>nej</v>
      </c>
    </row>
    <row r="118">
      <c r="A118" t="str">
        <v>toalett</v>
      </c>
      <c r="B118" t="str">
        <v>golv_klinker__spackling</v>
      </c>
      <c r="C118">
        <v>61</v>
      </c>
      <c r="D118" t="str">
        <v/>
      </c>
      <c r="E118" t="str">
        <v>ja</v>
      </c>
      <c r="F118" t="str">
        <v/>
      </c>
      <c r="G118" t="str">
        <v/>
      </c>
      <c r="H118" t="str">
        <v>A</v>
      </c>
      <c r="I118" t="str">
        <v>golv_klinker</v>
      </c>
      <c r="J118" t="str">
        <v/>
      </c>
      <c r="K118" t="str">
        <v/>
      </c>
      <c r="L118" t="str">
        <v>ja</v>
      </c>
      <c r="M118" t="str">
        <v>nej</v>
      </c>
    </row>
    <row r="119">
      <c r="A119" t="str">
        <v>toalett</v>
      </c>
      <c r="B119" t="str">
        <v>vagg_kakel</v>
      </c>
      <c r="C119">
        <v>70</v>
      </c>
      <c r="D119" t="str">
        <v/>
      </c>
      <c r="E119" t="str">
        <v>nej</v>
      </c>
      <c r="F119" t="str">
        <v/>
      </c>
      <c r="G119" t="str">
        <v/>
      </c>
      <c r="H119" t="str">
        <v/>
      </c>
      <c r="I119" t="str">
        <v/>
      </c>
      <c r="J119" t="str">
        <v/>
      </c>
      <c r="K119" t="str">
        <v/>
      </c>
      <c r="L119" t="str">
        <v/>
      </c>
      <c r="M119" t="str">
        <v/>
      </c>
    </row>
    <row r="120">
      <c r="A120" t="str">
        <v>toalett</v>
      </c>
      <c r="B120" t="str">
        <v>malning_tak</v>
      </c>
      <c r="C120">
        <v>80</v>
      </c>
      <c r="D120" t="str">
        <v/>
      </c>
      <c r="E120" t="str">
        <v>nej</v>
      </c>
      <c r="F120" t="str">
        <v/>
      </c>
      <c r="G120" t="str">
        <v/>
      </c>
      <c r="H120" t="str">
        <v/>
      </c>
      <c r="I120" t="str">
        <v/>
      </c>
      <c r="J120" t="str">
        <v/>
      </c>
      <c r="K120" t="str">
        <v/>
      </c>
      <c r="L120" t="str">
        <v/>
      </c>
      <c r="M120" t="str">
        <v/>
      </c>
    </row>
    <row r="121">
      <c r="A121" t="str">
        <v>toalett</v>
      </c>
      <c r="B121" t="str">
        <v>malning_vagg</v>
      </c>
      <c r="C121">
        <v>90</v>
      </c>
      <c r="D121" t="str">
        <v/>
      </c>
      <c r="E121" t="str">
        <v>nej</v>
      </c>
      <c r="F121" t="str">
        <v/>
      </c>
      <c r="G121" t="str">
        <v/>
      </c>
      <c r="H121" t="str">
        <v/>
      </c>
      <c r="I121" t="str">
        <v/>
      </c>
      <c r="J121" t="str">
        <v/>
      </c>
      <c r="K121" t="str">
        <v/>
      </c>
      <c r="L121" t="str">
        <v/>
      </c>
      <c r="M121" t="str">
        <v/>
      </c>
    </row>
    <row r="122">
      <c r="A122" t="str">
        <v>toalett</v>
      </c>
      <c r="B122" t="str">
        <v>innerdorr</v>
      </c>
      <c r="C122">
        <v>100</v>
      </c>
      <c r="D122" t="str">
        <v>innerdorr</v>
      </c>
      <c r="E122" t="str">
        <v>nej</v>
      </c>
      <c r="F122" t="str">
        <v/>
      </c>
      <c r="G122" t="str">
        <v/>
      </c>
      <c r="H122" t="str">
        <v/>
      </c>
      <c r="I122" t="str">
        <v/>
      </c>
      <c r="J122" t="str">
        <v/>
      </c>
      <c r="K122" t="str">
        <v/>
      </c>
      <c r="L122" t="str">
        <v/>
      </c>
      <c r="M122" t="str">
        <v/>
      </c>
    </row>
    <row r="123">
      <c r="A123" t="str">
        <v>toalett</v>
      </c>
      <c r="B123" t="str">
        <v>innerdorr_malning</v>
      </c>
      <c r="C123">
        <v>110</v>
      </c>
      <c r="D123" t="str">
        <v>innerdorr</v>
      </c>
      <c r="E123" t="str">
        <v>nej</v>
      </c>
      <c r="F123" t="str">
        <v/>
      </c>
      <c r="G123" t="str">
        <v/>
      </c>
      <c r="H123" t="str">
        <v/>
      </c>
      <c r="I123" t="str">
        <v/>
      </c>
      <c r="J123" t="str">
        <v/>
      </c>
      <c r="K123" t="str">
        <v/>
      </c>
      <c r="L123" t="str">
        <v/>
      </c>
      <c r="M123" t="str">
        <v/>
      </c>
    </row>
    <row r="124">
      <c r="A124" t="str">
        <v>toalett</v>
      </c>
      <c r="B124" t="str">
        <v>porslin</v>
      </c>
      <c r="C124">
        <v>120</v>
      </c>
      <c r="D124" t="str">
        <v/>
      </c>
      <c r="E124" t="str">
        <v>nej</v>
      </c>
      <c r="F124" t="str">
        <v/>
      </c>
      <c r="G124" t="str">
        <v/>
      </c>
      <c r="H124" t="str">
        <v/>
      </c>
      <c r="I124" t="str">
        <v/>
      </c>
      <c r="J124" t="str">
        <v/>
      </c>
      <c r="K124" t="str">
        <v/>
      </c>
      <c r="L124" t="str">
        <v/>
      </c>
      <c r="M124" t="str">
        <v/>
      </c>
    </row>
    <row r="125">
      <c r="A125" t="str">
        <v>toalett</v>
      </c>
      <c r="B125" t="str">
        <v>skyddstackning</v>
      </c>
      <c r="C125">
        <v>130</v>
      </c>
      <c r="D125" t="str">
        <v/>
      </c>
      <c r="E125" t="str">
        <v>ja</v>
      </c>
      <c r="F125" t="str">
        <v/>
      </c>
      <c r="G125" t="str">
        <v/>
      </c>
      <c r="H125" t="str">
        <v>B</v>
      </c>
      <c r="I125" t="str">
        <v/>
      </c>
      <c r="J125" t="str">
        <v>malning_tak,malning_vagg</v>
      </c>
      <c r="K125" t="str">
        <v>Målning</v>
      </c>
      <c r="L125" t="str">
        <v/>
      </c>
      <c r="M125" t="str">
        <v/>
      </c>
    </row>
    <row r="126">
      <c r="A126" t="str">
        <v>ovrigt</v>
      </c>
      <c r="B126" t="str">
        <v>balkongdorr_malning</v>
      </c>
      <c r="C126">
        <v>10</v>
      </c>
      <c r="D126" t="str">
        <v>balkongdorr</v>
      </c>
      <c r="E126" t="str">
        <v>nej</v>
      </c>
      <c r="F126" t="str">
        <v/>
      </c>
      <c r="G126" t="str">
        <v/>
      </c>
      <c r="H126" t="str">
        <v/>
      </c>
      <c r="I126" t="str">
        <v/>
      </c>
      <c r="J126" t="str">
        <v/>
      </c>
      <c r="K126" t="str">
        <v/>
      </c>
      <c r="L126" t="str">
        <v/>
      </c>
      <c r="M126" t="str">
        <v/>
      </c>
    </row>
    <row r="127">
      <c r="A127" t="str">
        <v>ovrigt</v>
      </c>
      <c r="B127" t="str">
        <v>balkongdorr_ny</v>
      </c>
      <c r="C127">
        <v>20</v>
      </c>
      <c r="D127" t="str">
        <v>balkongdorr</v>
      </c>
      <c r="E127" t="str">
        <v>nej</v>
      </c>
      <c r="F127" t="str">
        <v/>
      </c>
      <c r="G127" t="str">
        <v/>
      </c>
      <c r="H127" t="str">
        <v/>
      </c>
      <c r="I127" t="str">
        <v/>
      </c>
      <c r="J127" t="str">
        <v/>
      </c>
      <c r="K127" t="str">
        <v/>
      </c>
      <c r="L127" t="str">
        <v/>
      </c>
      <c r="M127" t="str">
        <v/>
      </c>
    </row>
    <row r="128">
      <c r="A128" t="str">
        <v>ovrigt</v>
      </c>
      <c r="B128" t="str">
        <v>taklampa</v>
      </c>
      <c r="C128">
        <v>30</v>
      </c>
      <c r="D128" t="str">
        <v/>
      </c>
      <c r="E128" t="str">
        <v>nej</v>
      </c>
      <c r="F128" t="str">
        <v/>
      </c>
      <c r="G128" t="str">
        <v/>
      </c>
      <c r="H128" t="str">
        <v/>
      </c>
      <c r="I128" t="str">
        <v/>
      </c>
      <c r="J128" t="str">
        <v/>
      </c>
      <c r="K128" t="str">
        <v/>
      </c>
      <c r="L128" t="str">
        <v/>
      </c>
      <c r="M128" t="str">
        <v/>
      </c>
    </row>
    <row r="129">
      <c r="A129" t="str">
        <v>ovrigt</v>
      </c>
      <c r="B129" t="str">
        <v>eluttag</v>
      </c>
      <c r="C129">
        <v>40</v>
      </c>
      <c r="D129" t="str">
        <v/>
      </c>
      <c r="E129" t="str">
        <v>nej</v>
      </c>
      <c r="F129" t="str">
        <v/>
      </c>
      <c r="G129" t="str">
        <v/>
      </c>
      <c r="H129" t="str">
        <v/>
      </c>
      <c r="I129" t="str">
        <v/>
      </c>
      <c r="J129" t="str">
        <v/>
      </c>
      <c r="K129" t="str">
        <v/>
      </c>
      <c r="L129" t="str">
        <v/>
      </c>
      <c r="M129" t="str">
        <v/>
      </c>
    </row>
    <row r="130">
      <c r="A130" t="str">
        <v>ovrigt</v>
      </c>
      <c r="B130" t="str">
        <v>strombrytare</v>
      </c>
      <c r="C130">
        <v>50</v>
      </c>
      <c r="D130" t="str">
        <v/>
      </c>
      <c r="E130" t="str">
        <v>nej</v>
      </c>
      <c r="F130" t="str">
        <v/>
      </c>
      <c r="G130" t="str">
        <v/>
      </c>
      <c r="H130" t="str">
        <v/>
      </c>
      <c r="I130" t="str">
        <v/>
      </c>
      <c r="J130" t="str">
        <v/>
      </c>
      <c r="K130" t="str">
        <v/>
      </c>
      <c r="L130" t="str">
        <v/>
      </c>
      <c r="M130" t="str">
        <v/>
      </c>
    </row>
    <row r="131">
      <c r="A131" t="str">
        <v>ovrigt</v>
      </c>
      <c r="B131" t="str">
        <v>radiator</v>
      </c>
      <c r="C131">
        <v>60</v>
      </c>
      <c r="D131" t="str">
        <v/>
      </c>
      <c r="E131" t="str">
        <v>nej</v>
      </c>
      <c r="F131" t="str">
        <v/>
      </c>
      <c r="G131" t="str">
        <v/>
      </c>
      <c r="H131" t="str">
        <v/>
      </c>
      <c r="I131" t="str">
        <v/>
      </c>
      <c r="J131" t="str">
        <v/>
      </c>
      <c r="K131" t="str">
        <v/>
      </c>
      <c r="L131" t="str">
        <v/>
      </c>
      <c r="M131" t="str">
        <v/>
      </c>
    </row>
    <row r="132">
      <c r="A132" t="str">
        <v>ovrigt</v>
      </c>
      <c r="B132" t="str">
        <v>dorrhandtag</v>
      </c>
      <c r="C132">
        <v>70</v>
      </c>
      <c r="D132" t="str">
        <v/>
      </c>
      <c r="E132" t="str">
        <v>nej</v>
      </c>
      <c r="F132" t="str">
        <v/>
      </c>
      <c r="G132" t="str">
        <v/>
      </c>
      <c r="H132" t="str">
        <v/>
      </c>
      <c r="I132" t="str">
        <v/>
      </c>
      <c r="J132" t="str">
        <v/>
      </c>
      <c r="K132" t="str">
        <v/>
      </c>
      <c r="L132" t="str">
        <v/>
      </c>
      <c r="M132" t="str">
        <v/>
      </c>
    </row>
    <row r="133">
      <c r="A133" t="str">
        <v>ovrigt</v>
      </c>
      <c r="B133" t="str">
        <v>slutstad</v>
      </c>
      <c r="C133">
        <v>80</v>
      </c>
      <c r="D133" t="str">
        <v/>
      </c>
      <c r="E133" t="str">
        <v>nej</v>
      </c>
      <c r="F133" t="str">
        <v/>
      </c>
      <c r="G133" t="str">
        <v/>
      </c>
      <c r="H133" t="str">
        <v/>
      </c>
      <c r="I133" t="str">
        <v/>
      </c>
      <c r="J133" t="str">
        <v/>
      </c>
      <c r="K133" t="str">
        <v/>
      </c>
      <c r="L133" t="str">
        <v/>
      </c>
      <c r="M133" t="str">
        <v/>
      </c>
    </row>
  </sheetData>
  <ignoredErrors>
    <ignoredError numberStoredAsText="1" sqref="A1:M133"/>
  </ignoredErrors>
</worksheet>
</file>

<file path=xl/worksheets/sheet4.xml><?xml version="1.0" encoding="utf-8"?>
<worksheet xmlns="http://schemas.openxmlformats.org/spreadsheetml/2006/main" xmlns:r="http://schemas.openxmlformats.org/officeDocument/2006/relationships">
  <dimension ref="A1:J59"/>
  <sheetViews>
    <sheetView workbookViewId="0" rightToLeft="0"/>
  </sheetViews>
  <sheetData>
    <row r="1">
      <c r="A1" t="str">
        <v>Kapitel.Nummer</v>
      </c>
      <c r="B1" t="str">
        <v>Identitet</v>
      </c>
      <c r="C1" t="str">
        <v>Enhet</v>
      </c>
      <c r="D1" t="str">
        <v>Artiklar</v>
      </c>
      <c r="E1" t="str">
        <v>Mtrl-summa</v>
      </c>
      <c r="F1" t="str">
        <v>Tim-summa</v>
      </c>
      <c r="G1" t="str">
        <v>UE-summa</v>
      </c>
      <c r="H1" t="str">
        <v>Beräknat pris (kr)</v>
      </c>
      <c r="I1" t="str">
        <v>Senast uppdaterad</v>
      </c>
      <c r="J1" t="str">
        <v>Källa-wbr</v>
      </c>
    </row>
    <row r="2" xml:space="preserve">
      <c r="A2" t="str">
        <v>14.017</v>
      </c>
      <c r="B2" t="str">
        <v>Skyddstäckning inomhus</v>
      </c>
      <c r="C2" t="str">
        <v>st</v>
      </c>
      <c r="D2" t="str" xml:space="preserve">
        <v xml:space="preserve">P2.2202000 Skyddstäckning av golv med papp (mtrl 0, tim 0, UE 22, åtgång 1, spill 1)
P2.2203000 Skyddstäckning av lister med papp (mtrl 0, tim 0, UE 20, åtgång 1, spill 1)</v>
      </c>
      <c r="E2">
        <v>0</v>
      </c>
      <c r="F2">
        <v>0</v>
      </c>
      <c r="G2">
        <v>42</v>
      </c>
      <c r="H2">
        <v>46</v>
      </c>
      <c r="I2" t="str">
        <v>2026-04-22</v>
      </c>
      <c r="J2" t="str">
        <v>HSB-3a-ROT-helrenovering-v6.wbr</v>
      </c>
    </row>
    <row r="3">
      <c r="A3" t="str">
        <v>15.007</v>
      </c>
      <c r="B3" t="str">
        <v>Linoleummatta på golv rivs</v>
      </c>
      <c r="C3" t="str">
        <v>m²</v>
      </c>
      <c r="D3" t="str">
        <v>R1.1685000 Linoleummatta rivs (mtrl 0, tim 0.12, UE 0, åtgång 1, spill 1)</v>
      </c>
      <c r="E3">
        <v>0</v>
      </c>
      <c r="F3">
        <v>0.12</v>
      </c>
      <c r="G3">
        <v>0</v>
      </c>
      <c r="H3">
        <v>112</v>
      </c>
      <c r="I3" t="str">
        <v>2026-04-22</v>
      </c>
      <c r="J3" t="str">
        <v>HSB-3a-ROT-helrenovering-v6.wbr</v>
      </c>
    </row>
    <row r="4">
      <c r="A4" t="str">
        <v>15.004</v>
      </c>
      <c r="B4" t="str">
        <v>Eklamellparkett på golv rivs</v>
      </c>
      <c r="C4" t="str">
        <v>m²</v>
      </c>
      <c r="D4" t="str">
        <v>R1.1682500 Eklamellparkett rivs (mtrl 0, tim 0.2, UE 0, åtgång 1, spill 1)</v>
      </c>
      <c r="E4">
        <v>0</v>
      </c>
      <c r="F4">
        <v>0.2</v>
      </c>
      <c r="G4">
        <v>0</v>
      </c>
      <c r="H4">
        <v>186</v>
      </c>
      <c r="I4" t="str">
        <v>2026-04-22</v>
      </c>
      <c r="J4" t="str">
        <v>HSB-3a-ROT-helrenovering-v6.wbr</v>
      </c>
    </row>
    <row r="5">
      <c r="A5" t="str">
        <v>15.011</v>
      </c>
      <c r="B5" t="str">
        <v>Väggplastmatta rivs</v>
      </c>
      <c r="C5" t="str">
        <v>m²</v>
      </c>
      <c r="D5" t="str">
        <v>R2.1303000 Väggplastmatta rivs (mtrl 0, tim 0.12, UE 0, åtgång 1, spill 1)</v>
      </c>
      <c r="E5">
        <v>0</v>
      </c>
      <c r="F5">
        <v>0.12</v>
      </c>
      <c r="G5">
        <v>0</v>
      </c>
      <c r="H5">
        <v>112</v>
      </c>
      <c r="I5" t="str">
        <v>2026-04-22</v>
      </c>
      <c r="J5" t="str">
        <v>HSB-3a-ROT-helrenovering-v6.wbr</v>
      </c>
    </row>
    <row r="6">
      <c r="A6" t="str">
        <v>16.009</v>
      </c>
      <c r="B6" t="str">
        <v>Innerdörr 9x21 av trä rivs</v>
      </c>
      <c r="C6" t="str">
        <v>st</v>
      </c>
      <c r="D6" t="str">
        <v>R5.2120900 900x2100 innerdörr rivs (mtrl 0, tim 0.4, UE 0, åtgång 1, spill 1)</v>
      </c>
      <c r="E6">
        <v>0</v>
      </c>
      <c r="F6">
        <v>0.4</v>
      </c>
      <c r="G6">
        <v>0</v>
      </c>
      <c r="H6">
        <v>372</v>
      </c>
      <c r="I6" t="str">
        <v>2026-04-22</v>
      </c>
      <c r="J6" t="str">
        <v>HSB-3a-ROT-helrenovering-v6.wbr</v>
      </c>
    </row>
    <row r="7">
      <c r="A7" t="str">
        <v>15.012</v>
      </c>
      <c r="B7" t="str">
        <v>Spackling undergolv</v>
      </c>
      <c r="C7" t="str">
        <v>m²</v>
      </c>
      <c r="D7" t="str">
        <v>Q3.1000500 Golvspackelmassa 1,0 kg/m² (mtrl 0, tim 0, UE 170, åtgång 1, spill 1)</v>
      </c>
      <c r="E7">
        <v>0</v>
      </c>
      <c r="F7">
        <v>0</v>
      </c>
      <c r="G7">
        <v>170</v>
      </c>
      <c r="H7">
        <v>187</v>
      </c>
      <c r="I7" t="str">
        <v>2026-04-22</v>
      </c>
      <c r="J7" t="str">
        <v>HSB-3a-ROT-helrenovering-v6.wbr</v>
      </c>
    </row>
    <row r="8" xml:space="preserve">
      <c r="A8" t="str">
        <v>15.016</v>
      </c>
      <c r="B8" t="str">
        <v>Ekparkett på golv</v>
      </c>
      <c r="C8" t="str">
        <v>m²</v>
      </c>
      <c r="D8" t="str" xml:space="preserve">
        <v xml:space="preserve">Q2.2302500 15 eklamellparkett-limfritt (mtrl 460, tim 0.2, UE 0, åtgång 1, spill 1.05)
L8.1020300 3 Tuplex underlagsmatta (mtrl 30.7, tim 0.06, UE 0, åtgång 1, spill 1.06)</v>
      </c>
      <c r="E8">
        <v>515.54</v>
      </c>
      <c r="F8">
        <v>0.26</v>
      </c>
      <c r="G8">
        <v>0</v>
      </c>
      <c r="H8">
        <v>757</v>
      </c>
      <c r="I8" t="str">
        <v>2026-04-22</v>
      </c>
      <c r="J8" t="str">
        <v>HSB-3a-ROT-helrenovering-v6.wbr</v>
      </c>
    </row>
    <row r="9" xml:space="preserve">
      <c r="A9" t="str">
        <v>15.018</v>
      </c>
      <c r="B9" t="str">
        <v>Laminat på golv</v>
      </c>
      <c r="C9" t="str">
        <v>m²</v>
      </c>
      <c r="D9" t="str" xml:space="preserve">
        <v xml:space="preserve">Q8.1060700 8 laminatgolv-bostadsmiljö (mtrl 420, tim 0.25, UE 0, åtgång 1, spill 1.05)
L8.1020300 3 Tuplex underlagsmatta (mtrl 30.7, tim 0.06, UE 0, åtgång 1, spill 1.06)</v>
      </c>
      <c r="E9">
        <v>473.54</v>
      </c>
      <c r="F9">
        <v>0.31</v>
      </c>
      <c r="G9">
        <v>0</v>
      </c>
      <c r="H9">
        <v>762</v>
      </c>
      <c r="I9" t="str">
        <v>2026-04-22</v>
      </c>
      <c r="J9" t="str">
        <v>HSB-3a-ROT-helrenovering-v6.wbr</v>
      </c>
    </row>
    <row r="10" xml:space="preserve">
      <c r="A10" t="str">
        <v>15.020</v>
      </c>
      <c r="B10" t="str">
        <v>Linoleum på golv</v>
      </c>
      <c r="C10" t="str">
        <v>m²</v>
      </c>
      <c r="D10" t="str" xml:space="preserve">
        <v xml:space="preserve">Q3.5151000 Vaxning av linoleummatta (mtrl 0, tim 0, UE 185, åtgång 1, spill 1)
Q3.5102000 2,5 linoleummatta (mtrl 0, tim 0, UE 480, åtgång 1, spill 1)</v>
      </c>
      <c r="E10">
        <v>0</v>
      </c>
      <c r="F10">
        <v>0</v>
      </c>
      <c r="G10">
        <v>665</v>
      </c>
      <c r="H10">
        <v>732</v>
      </c>
      <c r="I10" t="str">
        <v>2026-04-22</v>
      </c>
      <c r="J10" t="str">
        <v>HSB-3a-ROT-helrenovering-v6.wbr</v>
      </c>
    </row>
    <row r="11">
      <c r="A11" t="str">
        <v>14.038</v>
      </c>
      <c r="B11" t="str">
        <v>Ommålning inomhus väggar-tak på latexfärg</v>
      </c>
      <c r="C11" t="str">
        <v>st</v>
      </c>
      <c r="D11" t="str">
        <v>P2.2520100 Akrylat ommålning 966-30008 (mtrl 0, tim 0, UE 47, åtgång 1, spill 1)</v>
      </c>
      <c r="E11">
        <v>0</v>
      </c>
      <c r="F11">
        <v>0</v>
      </c>
      <c r="G11">
        <v>47</v>
      </c>
      <c r="H11">
        <v>52</v>
      </c>
      <c r="I11" t="str">
        <v>2026-04-22</v>
      </c>
      <c r="J11" t="str">
        <v>HSB-3a-ROT-helrenovering-v6.wbr</v>
      </c>
    </row>
    <row r="12">
      <c r="A12" t="str">
        <v>14.047</v>
      </c>
      <c r="B12" t="str">
        <v>Ommålning fönster</v>
      </c>
      <c r="C12" t="str">
        <v>st</v>
      </c>
      <c r="D12" t="str">
        <v>P2.2380100 Oljefärg ommålning 955-35310 karm (mtrl 0, tim 0, UE 35, åtgång 1, spill 1)</v>
      </c>
      <c r="E12">
        <v>0</v>
      </c>
      <c r="F12">
        <v>0</v>
      </c>
      <c r="G12">
        <v>35</v>
      </c>
      <c r="H12">
        <v>39</v>
      </c>
      <c r="I12" t="str">
        <v>2026-04-22</v>
      </c>
      <c r="J12" t="str">
        <v>HSB-3a-ROT-helrenovering-v6.wbr</v>
      </c>
    </row>
    <row r="13">
      <c r="A13" t="str">
        <v>14.048</v>
      </c>
      <c r="B13" t="str">
        <v>Ommålning innerdörrar</v>
      </c>
      <c r="C13" t="str">
        <v>st</v>
      </c>
      <c r="D13" t="str">
        <v>P2.2564101 Lackf ommåln 956-30510 dörr+karm (mtrl 0, tim 0, UE 1102, åtgång 1, spill 1)</v>
      </c>
      <c r="E13">
        <v>0</v>
      </c>
      <c r="F13">
        <v>0</v>
      </c>
      <c r="G13">
        <v>1102</v>
      </c>
      <c r="H13">
        <v>1212</v>
      </c>
      <c r="I13" t="str">
        <v>2026-04-22</v>
      </c>
      <c r="J13" t="str">
        <v>HSB-3a-ROT-helrenovering-v6.wbr</v>
      </c>
    </row>
    <row r="14" xml:space="preserve">
      <c r="A14" t="str">
        <v>16.056</v>
      </c>
      <c r="B14" t="str">
        <v>Bostadsinnerdörr 9x21 målad</v>
      </c>
      <c r="C14" t="str">
        <v>st</v>
      </c>
      <c r="D14" t="str" xml:space="preserve">
        <v xml:space="preserve">S3.2100900 9x21 målad lättdörr (mtrl 1449, tim 0.85, UE 0, åtgång 1, spill 1)
H5.1731300 Foder, 12x43 vitmålad (mtrl 25.3, tim 0.1, UE 0, åtgång 10.6, spill 1.1)
S5.1104000 Ektröskel (mtrl 220, tim 0.11, UE 0, åtgång 1, spill 1)
S5.1115000 Fallåstillbehör (mtrl 575, tim 0.11, UE 0, åtgång 1, spill 1)
S5.1121000 Trycke av metall (mtrl 265, tim 0.11, UE 0, åtgång 1, spill 1)
S5.1191000 Dörrstoppare med distans (mtrl 104, tim 0.11, UE 0, åtgång 1, spill 1)</v>
      </c>
      <c r="E14">
        <v>2908</v>
      </c>
      <c r="F14">
        <v>2.35</v>
      </c>
      <c r="G14">
        <v>0</v>
      </c>
      <c r="H14">
        <v>5093</v>
      </c>
      <c r="I14" t="str">
        <v>2026-04-22</v>
      </c>
      <c r="J14" t="str">
        <v>HSB-3a-ROT-helrenovering-v6.wbr</v>
      </c>
    </row>
    <row r="15">
      <c r="A15" t="str">
        <v>8.132</v>
      </c>
      <c r="B15" t="str">
        <v>Socklar, målade</v>
      </c>
      <c r="C15" t="str">
        <v>m</v>
      </c>
      <c r="D15" t="str">
        <v>H5.1732300 Sockellist, 12x56 vitmålad (mtrl 28.5, tim 0.1, UE 0, åtgång 1, spill 1.1)</v>
      </c>
      <c r="E15">
        <v>31.35</v>
      </c>
      <c r="F15">
        <v>0.1</v>
      </c>
      <c r="G15">
        <v>0</v>
      </c>
      <c r="H15">
        <v>124</v>
      </c>
      <c r="I15" t="str">
        <v>2026-04-22</v>
      </c>
      <c r="J15" t="str">
        <v>HSB-3a-ROT-helrenovering-v6.wbr</v>
      </c>
    </row>
    <row r="16">
      <c r="A16" t="str">
        <v>8.136</v>
      </c>
      <c r="B16" t="str">
        <v>Taklister, målade</v>
      </c>
      <c r="C16" t="str">
        <v>m</v>
      </c>
      <c r="D16" t="str">
        <v>H5.1733300 Taklist, 21x33 skugglist vitmålad (mtrl 27, tim 0.11, UE 0, åtgång 1, spill 1.1)</v>
      </c>
      <c r="E16">
        <v>29.7</v>
      </c>
      <c r="F16">
        <v>0.11</v>
      </c>
      <c r="G16">
        <v>0</v>
      </c>
      <c r="H16">
        <v>132</v>
      </c>
      <c r="I16" t="str">
        <v>2026-04-22</v>
      </c>
      <c r="J16" t="str">
        <v>HSB-3a-ROT-helrenovering-v6.wbr</v>
      </c>
    </row>
    <row r="17" xml:space="preserve">
      <c r="A17" t="str">
        <v>17.020</v>
      </c>
      <c r="B17" t="str">
        <v>Skåpsinredning, målat L=1200, 1G+1L</v>
      </c>
      <c r="C17" t="str">
        <v>st</v>
      </c>
      <c r="D17" t="str" xml:space="preserve">
        <v xml:space="preserve">S4.3400600 Garderobskåp B=600 (mtrl 2472, tim 1.1, UE 0, åtgång 1, spill 1)
S4.3410600 Linneskåp B=600 (mtrl 3516, tim 1.2, UE 0, åtgång 1, spill 1)
S4.3806100 Passbit vitmålad B=100 (mtrl 286, tim 0.11, UE 0, åtgång 2.3, spill 1.1)
S4.8010000 Rostfritt bygelhandtag (mtrl 50, tim 0.15, UE 0, åtgång 2, spill 1)
S7.1101500 Inklädnad ök skåp H=150 (mtrl 50.9, tim 0.36, UE 0, åtgång 1.9, spill 1.1)</v>
      </c>
      <c r="E17">
        <v>6917.96</v>
      </c>
      <c r="F17">
        <v>3.54</v>
      </c>
      <c r="G17">
        <v>0</v>
      </c>
      <c r="H17">
        <v>10207</v>
      </c>
      <c r="I17" t="str">
        <v>2026-04-22</v>
      </c>
      <c r="J17" t="str">
        <v>HSB-3a-ROT-helrenovering-v6.wbr</v>
      </c>
    </row>
    <row r="18" xml:space="preserve">
      <c r="A18" t="str">
        <v>17.019</v>
      </c>
      <c r="B18" t="str">
        <v>Skåpsinredning, målat L=1200, 1ST+1G</v>
      </c>
      <c r="C18" t="str">
        <v>st</v>
      </c>
      <c r="D18" t="str" xml:space="preserve">
        <v xml:space="preserve">S4.3430600 Städskåp B=600 (mtrl 3181, tim 1.25, UE 0, åtgång 1, spill 1)
S4.3400600 Garderobskåp B=600 (mtrl 2472, tim 1.1, UE 0, åtgång 1, spill 1)
S4.3806100 Passbit vitmålad B=100 (mtrl 286, tim 0.11, UE 0, åtgång 2.3, spill 1.1)
S4.8010000 Rostfritt bygelhandtag (mtrl 50, tim 0.15, UE 0, åtgång 2, spill 1)
S7.1101500 Inklädnad ök skåp H=150 (mtrl 50.9, tim 0.36, UE 0, åtgång 1.9, spill 1.1)</v>
      </c>
      <c r="E18">
        <v>6582.96</v>
      </c>
      <c r="F18">
        <v>3.59</v>
      </c>
      <c r="G18">
        <v>0</v>
      </c>
      <c r="H18">
        <v>9919</v>
      </c>
      <c r="I18" t="str">
        <v>2026-04-22</v>
      </c>
      <c r="J18" t="str">
        <v>HSB-3a-ROT-helrenovering-v6.wbr</v>
      </c>
    </row>
    <row r="19" xml:space="preserve">
      <c r="A19" t="str">
        <v>17.022</v>
      </c>
      <c r="B19" t="str">
        <v>Skjutdörrsgarderob B=1250</v>
      </c>
      <c r="C19" t="str">
        <v>st</v>
      </c>
      <c r="D19" t="str" xml:space="preserve">
        <v xml:space="preserve">S4.3901012 2-dörrars garderobsfront B=1250 (mtrl 6438, tim 2.2, UE 0, åtgång 1, spill 1)
S4.3911110 Gavelskiva (mtrl 985, tim 0.22, UE 0, åtgång 1, spill 1)
S4.3911112 Bärlist inklusive täcklist (mtrl 149, tim 0.17, UE 0, åtgång 1.2, spill 1)
S4.3911115 Hängskena (mtrl 202, tim 0.06, UE 0, åtgång 3, spill 1)
S4.3911120 Konsol inkl. konsolavslut (mtrl 91, tim 0.06, UE 0, åtgång 19, spill 1)
S4.3911160 Trådhylla B=600 (mtrl 136, tim 0.1, UE 0, åtgång 4, spill 1)
S4.3911460 Trådback B=600 H=85 (mtrl 433, tim 0.13, UE 0, åtgång 1, spill 1)
S4.3911465 Trådback B=600 H=185 (mtrl 467, tim 0.13, UE 0, åtgång 5, spill 1)
S4.3911560 Utdragbar skohylla B=600 (mtrl 530, tim 0.1, UE 0, åtgång 2, spill 1)
S4.3911360 Klädstång B=1200 (mtrl 239, tim 0.07, UE 0, åtgång 1, spill 1)</v>
      </c>
      <c r="E19">
        <v>14547.8</v>
      </c>
      <c r="F19">
        <v>5.39</v>
      </c>
      <c r="G19">
        <v>0</v>
      </c>
      <c r="H19">
        <v>19564</v>
      </c>
      <c r="I19" t="str">
        <v>2026-04-22</v>
      </c>
      <c r="J19" t="str">
        <v>HSB-3a-ROT-helrenovering-v6.wbr</v>
      </c>
    </row>
    <row r="20" xml:space="preserve">
      <c r="A20" t="str">
        <v>20.002</v>
      </c>
      <c r="B20" t="str">
        <v>Underentreprenader EL</v>
      </c>
      <c r="C20" t="str">
        <v>st</v>
      </c>
      <c r="D20" t="str" xml:space="preserve">
        <v xml:space="preserve">A7.1102010 El-installationer (mtrl 0, tim 0, UE 0, åtgång 1, spill 1)
A7.1102020 Svagström-tele (mtrl 0, tim 0, UE 0, åtgång 1, spill 1)
A7.1102030 Datainstallationer (mtrl 0, tim 0, UE 0, åtgång 1, spill 1)
A7.1102040 Larm och säkerhet (mtrl 0, tim 0, UE 0, åtgång 1, spill 1)</v>
      </c>
      <c r="E20">
        <v>0</v>
      </c>
      <c r="F20">
        <v>0</v>
      </c>
      <c r="G20">
        <v>0</v>
      </c>
      <c r="H20">
        <v>0</v>
      </c>
      <c r="I20" t="str">
        <v>2026-04-22</v>
      </c>
      <c r="J20" t="str">
        <v>HSB-3a-ROT-helrenovering-v6.wbr</v>
      </c>
    </row>
    <row r="21">
      <c r="A21" t="str">
        <v>15.001</v>
      </c>
      <c r="B21" t="str">
        <v>Klinker + sättbruk på golv rivs</v>
      </c>
      <c r="C21" t="str">
        <v>m²</v>
      </c>
      <c r="D21" t="str">
        <v>R1.1681000 Klinker + sättbruk rivs (mtrl 0, tim 0.32, UE 0, åtgång 1, spill 1)</v>
      </c>
      <c r="E21">
        <v>0</v>
      </c>
      <c r="F21">
        <v>0.32</v>
      </c>
      <c r="G21">
        <v>0</v>
      </c>
      <c r="H21">
        <v>298</v>
      </c>
      <c r="I21" t="str">
        <v>2026-04-22</v>
      </c>
      <c r="J21" t="str">
        <v>HSB-3a-ROT-helrenovering-v6.wbr</v>
      </c>
    </row>
    <row r="22">
      <c r="A22" t="str">
        <v>16.008</v>
      </c>
      <c r="B22" t="str">
        <v>Tamburdörr 10x21 rivs</v>
      </c>
      <c r="C22" t="str">
        <v>st</v>
      </c>
      <c r="D22" t="str">
        <v>R5.2112100 1000x2100 tamburdörr rivs (mtrl 0, tim 0.6, UE 0, åtgång 1, spill 1)</v>
      </c>
      <c r="E22">
        <v>0</v>
      </c>
      <c r="F22">
        <v>0.6</v>
      </c>
      <c r="G22">
        <v>0</v>
      </c>
      <c r="H22">
        <v>558</v>
      </c>
      <c r="I22" t="str">
        <v>2026-04-22</v>
      </c>
      <c r="J22" t="str">
        <v>HSB-3a-ROT-helrenovering-v6.wbr</v>
      </c>
    </row>
    <row r="23" xml:space="preserve">
      <c r="A23" t="str">
        <v>15.015</v>
      </c>
      <c r="B23" t="str">
        <v>Klinker på golv</v>
      </c>
      <c r="C23" t="str">
        <v>m²</v>
      </c>
      <c r="D23" t="str" xml:space="preserve">
        <v xml:space="preserve">Q1.4121500 Klinkerplattor, 300x300 standard (mtrl 646, tim 1.2, UE 0, åtgång 1, spill 1.06)
Q1.4135000 Fuktskydd typ tätduk (mtrl 0, tim 0, UE 408, åtgång 1, spill 1)
Q1.4421300 Klinkersockel H=100 (mtrl 64.6, tim 0.3, UE 0, åtgång 1, spill 1)</v>
      </c>
      <c r="E23">
        <v>749.36</v>
      </c>
      <c r="F23">
        <v>1.5</v>
      </c>
      <c r="G23">
        <v>408</v>
      </c>
      <c r="H23">
        <v>2593</v>
      </c>
      <c r="I23" t="str">
        <v>2026-04-22</v>
      </c>
      <c r="J23" t="str">
        <v>HSB-3a-ROT-helrenovering-v6.wbr</v>
      </c>
    </row>
    <row r="24" xml:space="preserve">
      <c r="A24" t="str">
        <v>16.054</v>
      </c>
      <c r="B24" t="str">
        <v>Tamburdörr 10x21 40 dB</v>
      </c>
      <c r="C24" t="str">
        <v>st</v>
      </c>
      <c r="D24" t="str" xml:space="preserve">
        <v xml:space="preserve">S3.1001000 10x21 björkfanerad 40dB (mtrl 7383, tim 1.7, UE 0, åtgång 1, spill 1)
S3.1202500 Tgg för dörrkikare (mtrl 246, tim 0, UE 0, åtgång 1, spill 1)
S6.1040100 Smyglist, 8x27 (mtrl 22, tim 0.06, UE 0, åtgång 5.4, spill 1)
S6.1030200 Drevning 2-sidig med glasull (mtrl 9, tim 0.12, UE 0, åtgång 6.2, spill 1.06)
L5.2110000 Akustisk brandisolerande fogmassa (mtrl 49.3, tim 0.09, UE 0, åtgång 12.4, spill 1)
H5.1731300 Foder, 12x43 vitmålad (mtrl 25.3, tim 0.1, UE 0, åtgång 5.4, spill 1.1)
S5.1111000 Cylinder inkl tillbehör (mtrl 662, tim 0.17, UE 0, åtgång 1, spill 1)
S3.1201800 Dörrspärr (mtrl 752, tim 0.15, UE 0, åtgång 1, spill 1)
S5.1121000 Trycke av metall (mtrl 265, tim 0.11, UE 0, åtgång 1, spill 1)
S3.1201000 Ringklocka för tamburdörr (mtrl 402, tim 0.11, UE 0, åtgång 1, spill 1)
S5.1191000 Dörrstoppare med distans (mtrl 104, tim 0.11, UE 0, åtgång 1, spill 1)</v>
      </c>
      <c r="E24">
        <v>10753.55</v>
      </c>
      <c r="F24">
        <v>5.07</v>
      </c>
      <c r="G24">
        <v>0</v>
      </c>
      <c r="H24">
        <v>15472</v>
      </c>
      <c r="I24" t="str">
        <v>2026-04-22</v>
      </c>
      <c r="J24" t="str">
        <v>HSB-3a-ROT-helrenovering-v6.wbr</v>
      </c>
    </row>
    <row r="25">
      <c r="A25" t="str">
        <v>17.025</v>
      </c>
      <c r="B25" t="str">
        <v>Klädkammarinredning</v>
      </c>
      <c r="C25" t="str">
        <v>st</v>
      </c>
      <c r="D25" t="str">
        <v>Y3.3091100 1 hyllplan + konsol + klädstång (mtrl 292, tim 0.8, UE 0, åtgång 2, spill 1)</v>
      </c>
      <c r="E25">
        <v>584</v>
      </c>
      <c r="F25">
        <v>1.6</v>
      </c>
      <c r="G25">
        <v>0</v>
      </c>
      <c r="H25">
        <v>2072</v>
      </c>
      <c r="I25" t="str">
        <v>2026-04-22</v>
      </c>
      <c r="J25" t="str">
        <v>HSB-3a-ROT-helrenovering-v6.wbr</v>
      </c>
    </row>
    <row r="26">
      <c r="A26" t="str">
        <v>17.001</v>
      </c>
      <c r="B26" t="str">
        <v>Komplett kök rivs</v>
      </c>
      <c r="C26" t="str">
        <v>st</v>
      </c>
      <c r="D26" t="str">
        <v>R5.2411600 16 skåp + spis + kylskåp rivs (mtrl 0, tim 6.56, UE 0, åtgång 1, spill 1)</v>
      </c>
      <c r="E26">
        <v>0</v>
      </c>
      <c r="F26">
        <v>6.56</v>
      </c>
      <c r="G26">
        <v>0</v>
      </c>
      <c r="H26">
        <v>6101</v>
      </c>
      <c r="I26" t="str">
        <v>2026-04-22</v>
      </c>
      <c r="J26" t="str">
        <v>HSB-3a-ROT-helrenovering-v6.wbr</v>
      </c>
    </row>
    <row r="27">
      <c r="A27" t="str">
        <v>15.010</v>
      </c>
      <c r="B27" t="str">
        <v>Kakelplattor på vägg rivs</v>
      </c>
      <c r="C27" t="str">
        <v>m²</v>
      </c>
      <c r="D27" t="str">
        <v>R2.1302000 Kakelplattor rivs (mtrl 0, tim 0.2, UE 0, åtgång 1, spill 1)</v>
      </c>
      <c r="E27">
        <v>0</v>
      </c>
      <c r="F27">
        <v>0.2</v>
      </c>
      <c r="G27">
        <v>0</v>
      </c>
      <c r="H27">
        <v>186</v>
      </c>
      <c r="I27" t="str">
        <v>2026-04-22</v>
      </c>
      <c r="J27" t="str">
        <v>HSB-3a-ROT-helrenovering-v6.wbr</v>
      </c>
    </row>
    <row r="28" xml:space="preserve">
      <c r="A28" t="str">
        <v>17.011</v>
      </c>
      <c r="B28" t="str">
        <v>Köksstomme H=2278, luckor vitmålade</v>
      </c>
      <c r="C28" t="str">
        <v>st</v>
      </c>
      <c r="D28" t="str" xml:space="preserve">
        <v xml:space="preserve">S4.1120200 Handduksskåp B=200 (mtrl 1252, tim 0.85, UE 0, åtgång 1, spill 1)
S4.1130400 Lådfackskåp B=400 (mtrl 5657, tim 0.95, UE 0, åtgång 1, spill 1)
S4.1190106 Bänkskåp-3 lådor B=600 (mtrl 4618, tim 0.95, UE 0, åtgång 1, spill 1)
S4.1191106 Spishällskåp-3 lådor B=600 (mtrl 4321, tim 0.95, UE 0, åtgång 1, spill 1)
S4.1192106 Diskbänkskåp-1 låda B=600 (mtrl 3643, tim 0.95, UE 0, åtgång 1, spill 1)
S4.2400400 Väggskåp B=400 (mtrl 1090, tim 0.85, UE 0, åtgång 2, spill 1)
S4.2430600 Fläktskåp B=600 (mtrl 1520, tim 0.85, UE 0, åtgång 1, spill 1)
S4.2400800 Väggskåp B=800 (mtrl 1773, tim 0.9, UE 0, åtgång 2, spill 1)
S4.2450600 Skåp över kyl-frys B=600 (mtrl 1387, tim 0.9, UE 0, åtgång 1, spill 1)
S4.3460600 Skafferiskåp B=600 (mtrl 7910, tim 1.1, UE 0, åtgång 1, spill 1)
S4.3490116 Inbyggnadsskåp-2 lådor  B=600 (mtrl 5574, tim 1.1, UE 0, åtgång 1, spill 1)
S4.3801160 Täcksida bänksk. 585x870 vitmålad (mtrl 503, tim 0.17, UE 0, åtgång 1, spill 1)
S4.3802190 Täcksida väggsk. 350x864 vitmålad (mtrl 385, tim 0.17, UE 0, åtgång 1, spill 1)
S4.3803122 Täcksida högsk. 585x2112 vitmålad (mtrl 863, tim 0.2, UE 0, åtgång 1, spill 1)
S4.3806054 Passbit vitmålad B=54 (mtrl 246, tim 0.11, UE 0, åtgång 4.1, spill 1.1)
S4.8010000 Rostfritt bygelhandtag (mtrl 50, tim 0.15, UE 0, åtgång 22, spill 1)
Y4.2010400 Bänkskiva av PP L=400 (mtrl 315, tim 0.45, UE 0, åtgång 1, spill 1)
Y4.4002000 Diskbänk L=2000 (mtrl 7188, tim 0.55, UE 0, åtgång 1, spill 1)
Q1.4327000 Kakelstänkskydd, H=450 vita (mtrl 92, tim 0.8, UE 0, åtgång 3.6, spill 1.05)
H5.1736100 Kakellist, 16x55 vitmålad (mtrl 70.1, tim 0.14, UE 0, åtgång 3.6, spill 1.1)
S7.1101500 Inklädnad ök skåp H=150 (mtrl 50.9, tim 0.36, UE 0, åtgång 5.8, spill 1.1)</v>
      </c>
      <c r="E28">
        <v>54021.56</v>
      </c>
      <c r="F28">
        <v>22.86</v>
      </c>
      <c r="G28">
        <v>0</v>
      </c>
      <c r="H28">
        <v>75284</v>
      </c>
      <c r="I28" t="str">
        <v>2026-04-22</v>
      </c>
      <c r="J28" t="str">
        <v>HSB-3a-ROT-helrenovering-v6.wbr</v>
      </c>
    </row>
    <row r="29" xml:space="preserve">
      <c r="A29" t="str">
        <v>17.013</v>
      </c>
      <c r="B29" t="str">
        <v>Köksstomme H=2278, luckor vit</v>
      </c>
      <c r="C29" t="str">
        <v>st</v>
      </c>
      <c r="D29" t="str" xml:space="preserve">
        <v xml:space="preserve">S4.1220200 Handduksskåp B=200 (mtrl 1714, tim 0.85, UE 0, åtgång 1, spill 1)
S4.1230400 Lådfackskåp B=400 (mtrl 6569, tim 0.95, UE 0, åtgång 1, spill 1)
S4.1291106 Spishällskåp-3 lådor B=600 (mtrl 5031, tim 0.95, UE 0, åtgång 1, spill 1)
S4.1290108 Bänkskåp-3 lådor B=800 (mtrl 5910, tim 1, UE 0, åtgång 1, spill 1)
S4.1292108 Diskbänkskåp-1 låda B=800 (mtrl 5790, tim 1, UE 0, åtgång 1, spill 1)
S4.2500400 Väggskåp B=400 (mtrl 1688, tim 0.85, UE 0, åtgång 1, spill 1)
S4.2530600 Fläktskåp B=600 (mtrl 2340, tim 0.85, UE 0, åtgång 1, spill 1)
S4.2500800 Väggskåp B=800 (mtrl 2979, tim 0.9, UE 0, åtgång 3, spill 1)
S4.2550600 Skåp över kyl-frys B=600 (mtrl 1889, tim 0.9, UE 0, åtgång 1, spill 1)
S4.3560600 Skafferiskåp B=600 (mtrl 9394, tim 1.1, UE 0, åtgång 1, spill 1)
S4.3590116 Inbyggnadsskåp-2 lådor  B=600 (mtrl 6848, tim 1.1, UE 0, åtgång 1, spill 1)
S4.3801160 Täcksida bänksk. 585x870 vitmålad (mtrl 503, tim 0.17, UE 0, åtgång 1, spill 1)
S4.3802190 Täcksida väggsk. 350x864 vitmålad (mtrl 385, tim 0.17, UE 0, åtgång 1, spill 1)
S4.3803122 Täcksida högsk. 585x2112 vitmålad (mtrl 863, tim 0.2, UE 0, åtgång 1, spill 1)
S4.3806054 Passbit vitmålad B=54 (mtrl 246, tim 0.11, UE 0, åtgång 4.1, spill 1.1)
S4.8010000 Rostfritt bygelhandtag (mtrl 50, tim 0.15, UE 0, åtgång 25, spill 1)
Y4.2010400 Bänkskiva av PP L=400 (mtrl 315, tim 0.45, UE 0, åtgång 1, spill 1)
Y4.2010800 Bänkskiva av PP L=800 (mtrl 631, tim 0.55, UE 0, åtgång 1, spill 1)
Y4.4001600 Diskbänk L=1600 (mtrl 6463, tim 0.55, UE 0, åtgång 1, spill 1)
Q1.4327000 Kakelstänkskydd, H=450 vita (mtrl 92, tim 0.8, UE 0, åtgång 4, spill 1.05)
H5.1736100 Kakellist, 16x55 vitmålad (mtrl 70.1, tim 0.14, UE 0, åtgång 4, spill 1.1)
S7.1101500 Inklädnad ök skåp H=150 (mtrl 50.9, tim 0.36, UE 0, åtgång 6.2, spill 1.1)</v>
      </c>
      <c r="E29">
        <v>68671.44</v>
      </c>
      <c r="F29">
        <v>24.53</v>
      </c>
      <c r="G29">
        <v>0</v>
      </c>
      <c r="H29">
        <v>91487</v>
      </c>
      <c r="I29" t="str">
        <v>2026-04-22</v>
      </c>
      <c r="J29" t="str">
        <v>HSB-3a-ROT-helrenovering-v6.wbr</v>
      </c>
    </row>
    <row r="30" xml:space="preserve">
      <c r="A30" t="str">
        <v>17.015</v>
      </c>
      <c r="B30" t="str">
        <v>Köksstomme H=2278, luckor ek</v>
      </c>
      <c r="C30" t="str">
        <v>st</v>
      </c>
      <c r="D30" t="str" xml:space="preserve">
        <v xml:space="preserve">S4.1320200 Handduksskåp B=200 (mtrl 2091, tim 0.85, UE 0, åtgång 1, spill 1)
S4.1330400 Lådfackskåp B=400 (mtrl 6822, tim 0.95, UE 0, åtgång 1, spill 1)
S4.1390106 Bänkskåp-3 lådor B=600 (mtrl 5596, tim 0.95, UE 0, åtgång 2, spill 1)
S4.1391106 Spishällskåp-3 lådor B=600 (mtrl 5135, tim 0.95, UE 0, åtgång 1, spill 1)
S4.1390108 Bänkskåp-3 lådor B=800 (mtrl 6244, tim 1, UE 0, åtgång 1, spill 1)
S4.1392108 Diskbänkskåp-1 låda B=800 (mtrl 6125, tim 1, UE 0, åtgång 1, spill 1)
S4.2600400 Väggskåp B=400 (mtrl 2236, tim 0.85, UE 0, åtgång 1, spill 1)
S4.2630600 Fläktskåp B=600 (mtrl 2933, tim 0.85, UE 0, åtgång 1, spill 1)
S4.2600600 Väggskåp B=600 (mtrl 2678, tim 0.85, UE 0, åtgång 2, spill 1)
S4.2600800 Väggskåp B=800 (mtrl 3842, tim 0.9, UE 0, åtgång 3, spill 1)
S4.2650600 Skåp över kyl-frys B=600 (mtrl 2446, tim 0.9, UE 0, åtgång 2, spill 1)
S4.3690116 Inbyggnadsskåp-2 lådor  B=600 (mtrl 7759, tim 1.1, UE 0, åtgång 1, spill 1)
S4.3801260 Täcksida bänksk.585x870 ekfanerad (mtrl 762, tim 0.17, UE 0, åtgång 3, spill 1)
S4.3802290 Täcksida väggsk. 350x864 ekfanerad (mtrl 534, tim 0.17, UE 0, åtgång 3, spill 1)
S4.3803222 Täcksida högsk. 585x2112 ekfanerad (mtrl 1075, tim 0.2, UE 0, åtgång 1, spill 1)
S4.8010000 Rostfritt bygelhandtag (mtrl 50, tim 0.15, UE 0, åtgång 32, spill 1)
Y4.2010400 Bänkskiva av PP L=400 (mtrl 315, tim 0.45, UE 0, åtgång 1, spill 1)
Y4.2011400 Bänkskiva av PP L=1400 (mtrl 1103, tim 0.55, UE 0, åtgång 1, spill 1)
Y4.4002200 Diskbänk L=2200 (mtrl 7852, tim 0.55, UE 0, åtgång 1, spill 1)
Q1.4327000 Kakelstänkskydd, H=450 vita (mtrl 92, tim 0.8, UE 0, åtgång 5.2, spill 1.05)
H5.1736100 Kakellist, 16x55 vitmålad (mtrl 70.1, tim 0.14, UE 0, åtgång 5.2, spill 1.1)
S7.1101500 Inklädnad ök skåp H=150 (mtrl 50.9, tim 0.36, UE 0, åtgång 8.2, spill 1.1)</v>
      </c>
      <c r="E30">
        <v>89506.41</v>
      </c>
      <c r="F30">
        <v>31.06</v>
      </c>
      <c r="G30">
        <v>0</v>
      </c>
      <c r="H30">
        <v>118392</v>
      </c>
      <c r="I30" t="str">
        <v>2026-04-22</v>
      </c>
      <c r="J30" t="str">
        <v>HSB-3a-ROT-helrenovering-v6.wbr</v>
      </c>
    </row>
    <row r="31" xml:space="preserve">
      <c r="A31" t="str">
        <v>17.014</v>
      </c>
      <c r="B31" t="str">
        <v>Vitvaror m.m. i kök</v>
      </c>
      <c r="C31" t="str">
        <v>st</v>
      </c>
      <c r="D31" t="str" xml:space="preserve">
        <v xml:space="preserve">Y8.1040500 Spishäll (mtrl 5400, tim 0.7, UE 0, åtgång 1, spill 1)
Y8.1050100 Fläkt över spis (mtrl 2100, tim 1, UE 0, åtgång 1, spill 1)
Y8.1041100 Inbyggnadsugn (mtrl 5550, tim 1, UE 0, åtgång 1, spill 1)
Y8.1021000 Kyl-frys 183/140 l (mtrl 8250, tim 1, UE 0, åtgång 1, spill 1)
Y8.1060100 Diskmaskin (mtrl 7500, tim 1, UE 0, åtgång 1, spill 1)</v>
      </c>
      <c r="E31">
        <v>28800</v>
      </c>
      <c r="F31">
        <v>4.7</v>
      </c>
      <c r="G31">
        <v>0</v>
      </c>
      <c r="H31">
        <v>33171</v>
      </c>
      <c r="I31" t="str">
        <v>2026-04-22</v>
      </c>
      <c r="J31" t="str">
        <v>HSB-3a-ROT-helrenovering-v6.wbr</v>
      </c>
    </row>
    <row r="32" xml:space="preserve">
      <c r="A32" t="str">
        <v>15.029</v>
      </c>
      <c r="B32" t="str">
        <v>Stänkskydd av kakel över bänkinrede</v>
      </c>
      <c r="C32" t="str">
        <v>m</v>
      </c>
      <c r="D32" t="str" xml:space="preserve">
        <v xml:space="preserve">Q1.4328000 Kakelstänkskydd, H=450 färgade (mtrl 119, tim 0.8, UE 0, åtgång 1, spill 1.05)
H5.1736300 Kakellist, 16x55 av björk (mtrl 179, tim 0.14, UE 0, åtgång 1, spill 1.1)</v>
      </c>
      <c r="E32">
        <v>321.85</v>
      </c>
      <c r="F32">
        <v>0.94</v>
      </c>
      <c r="G32">
        <v>0</v>
      </c>
      <c r="H32">
        <v>1196</v>
      </c>
      <c r="I32" t="str">
        <v>2026-04-22</v>
      </c>
      <c r="J32" t="str">
        <v>HSB-3a-ROT-helrenovering-v6.wbr</v>
      </c>
    </row>
    <row r="33" xml:space="preserve">
      <c r="A33" t="str">
        <v>20.003</v>
      </c>
      <c r="B33" t="str">
        <v>Underentreprenader VS</v>
      </c>
      <c r="C33" t="str">
        <v>st</v>
      </c>
      <c r="D33" t="str" xml:space="preserve">
        <v xml:space="preserve">A7.1103010 VS-installationer (mtrl 0, tim 0, UE 0, åtgång 1, spill 1)
A7.1103020 Yttre VA (mtrl 0, tim 0, UE 0, åtgång 1, spill 1)
A7.1103030 Sprinkler (mtrl 0, tim 0, UE 0, åtgång 1, spill 1)</v>
      </c>
      <c r="E33">
        <v>0</v>
      </c>
      <c r="F33">
        <v>0</v>
      </c>
      <c r="G33">
        <v>0</v>
      </c>
      <c r="H33">
        <v>0</v>
      </c>
      <c r="I33" t="str">
        <v>2026-04-22</v>
      </c>
      <c r="J33" t="str">
        <v>HSB-3a-ROT-helrenovering-v6.wbr</v>
      </c>
    </row>
    <row r="34">
      <c r="A34" t="str">
        <v>15.009</v>
      </c>
      <c r="B34" t="str">
        <v>Vinylplastmatta på golv rivs</v>
      </c>
      <c r="C34" t="str">
        <v>m²</v>
      </c>
      <c r="D34" t="str">
        <v>R1.1687000 Vinylplastmatta rivs (mtrl 0, tim 0.12, UE 0, åtgång 1, spill 1)</v>
      </c>
      <c r="E34">
        <v>0</v>
      </c>
      <c r="F34">
        <v>0.12</v>
      </c>
      <c r="G34">
        <v>0</v>
      </c>
      <c r="H34">
        <v>112</v>
      </c>
      <c r="I34" t="str">
        <v>2026-04-22</v>
      </c>
      <c r="J34" t="str">
        <v>HSB-3a-ROT-helrenovering-v6.wbr</v>
      </c>
    </row>
    <row r="35" xml:space="preserve">
      <c r="A35" t="str">
        <v>17.005</v>
      </c>
      <c r="B35" t="str">
        <v>WC-utrustning rivs</v>
      </c>
      <c r="C35" t="str">
        <v>st</v>
      </c>
      <c r="D35" t="str" xml:space="preserve">
        <v xml:space="preserve">R7.1002100 Spegel 600x450 rivs (mtrl 0, tim 0.08, UE 0, åtgång 1, spill 1)
R7.1042200 Bägarautomat rivs (mtrl 0, tim 0.04, UE 0, åtgång 1, spill 1)
R7.1045000 Klädkrok rivs (mtrl 0, tim 0.02, UE 0, åtgång 1, spill 1)
R7.1046000 Pappershandduksskåp rivs (mtrl 0, tim 0.04, UE 0, åtgång 1, spill 1)
R7.1046100 Papperskorg rivs (mtrl 0, tim 0.02, UE 0, åtgång 1, spill 1)
R7.1049000 Toalettpappershållare rivs (mtrl 0, tim 0.04, UE 0, åtgång 1, spill 1)
R7.1049200 Tvålautomat rivs (mtrl 0, tim 0.04, UE 0, åtgång 1, spill 1)
R2.1302200 Kakelfrimärke 750x450 rivs (mtrl 0, tim 0.4, UE 0, åtgång 1, spill 1)</v>
      </c>
      <c r="E35">
        <v>0</v>
      </c>
      <c r="F35">
        <v>0.68</v>
      </c>
      <c r="G35">
        <v>0</v>
      </c>
      <c r="H35">
        <v>632</v>
      </c>
      <c r="I35" t="str">
        <v>2026-04-22</v>
      </c>
      <c r="J35" t="str">
        <v>HSB-3a-ROT-helrenovering-v6.wbr</v>
      </c>
    </row>
    <row r="36" xml:space="preserve">
      <c r="A36" t="str">
        <v>17.008</v>
      </c>
      <c r="B36" t="str">
        <v>Badrumsutrustning rivs</v>
      </c>
      <c r="C36" t="str">
        <v>st</v>
      </c>
      <c r="D36" t="str" xml:space="preserve">
        <v xml:space="preserve">R7.1042000 Badrumsskåp rivs (mtrl 0, tim 0.06, UE 0, åtgång 1, spill 1)
R7.1043100 Draghandtag på vägg rivs (mtrl 0, tim 0.06, UE 0, åtgång 1, spill 1)
R7.1044000 Handdukshängare rivs (mtrl 0, tim 0.04, UE 0, åtgång 1, spill 1)
R7.1049000 Toalettpappershållare rivs (mtrl 0, tim 0.04, UE 0, åtgång 1, spill 1)
R7.1049100 Torkställ över badkar rivs (mtrl 0, tim 0.06, UE 0, åtgång 1, spill 1)</v>
      </c>
      <c r="E36">
        <v>0</v>
      </c>
      <c r="F36">
        <v>0.26</v>
      </c>
      <c r="G36">
        <v>0</v>
      </c>
      <c r="H36">
        <v>242</v>
      </c>
      <c r="I36" t="str">
        <v>2026-04-22</v>
      </c>
      <c r="J36" t="str">
        <v>HSB-3a-ROT-helrenovering-v6.wbr</v>
      </c>
    </row>
    <row r="37" xml:space="preserve">
      <c r="A37" t="str">
        <v>17.009</v>
      </c>
      <c r="B37" t="str">
        <v>Duschutrustning rivs</v>
      </c>
      <c r="C37" t="str">
        <v>st</v>
      </c>
      <c r="D37" t="str" xml:space="preserve">
        <v xml:space="preserve">R7.1043300 Duschdraperiskena L=1000 rivs (mtrl 0, tim 0.06, UE 0, åtgång 1, spill 1)
R7.1044000 Handdukshängare rivs (mtrl 0, tim 0.04, UE 0, åtgång 1, spill 1)
R7.1049300 Tvålhållare rivs (mtrl 0, tim 0.04, UE 0, åtgång 1, spill 1)</v>
      </c>
      <c r="E37">
        <v>0</v>
      </c>
      <c r="F37">
        <v>0.14</v>
      </c>
      <c r="G37">
        <v>0</v>
      </c>
      <c r="H37">
        <v>130</v>
      </c>
      <c r="I37" t="str">
        <v>2026-04-22</v>
      </c>
      <c r="J37" t="str">
        <v>HSB-3a-ROT-helrenovering-v6.wbr</v>
      </c>
    </row>
    <row r="38">
      <c r="A38" t="str">
        <v>15.013</v>
      </c>
      <c r="B38" t="str">
        <v>Våtrumsspackling i fall</v>
      </c>
      <c r="C38" t="str">
        <v>m²</v>
      </c>
      <c r="D38" t="str">
        <v>Q3.1113000 30 armerat flytspackel i fall (mtrl 0, tim 0, UE 2075, åtgång 1, spill 1)</v>
      </c>
      <c r="E38">
        <v>0</v>
      </c>
      <c r="F38">
        <v>0</v>
      </c>
      <c r="G38">
        <v>2075</v>
      </c>
      <c r="H38">
        <v>2283</v>
      </c>
      <c r="I38" t="str">
        <v>2026-04-22</v>
      </c>
      <c r="J38" t="str">
        <v>HSB-3a-ROT-helrenovering-v6.wbr</v>
      </c>
    </row>
    <row r="39" xml:space="preserve">
      <c r="A39" t="str">
        <v>15.023</v>
      </c>
      <c r="B39" t="str">
        <v>Plastmattor v-täta på golv</v>
      </c>
      <c r="C39" t="str">
        <v>m²</v>
      </c>
      <c r="D39" t="str" xml:space="preserve">
        <v xml:space="preserve">Q3.7202000 2,0 plastmatta, v-tät (mtrl 0, tim 0, UE 920, åtgång 1, spill 1)
Q3.7203000 Uppvikt plastmatta, v-tät (mtrl 0, tim 0, UE 165, åtgång 1, spill 1)</v>
      </c>
      <c r="E39">
        <v>0</v>
      </c>
      <c r="F39">
        <v>0</v>
      </c>
      <c r="G39">
        <v>1085</v>
      </c>
      <c r="H39">
        <v>1194</v>
      </c>
      <c r="I39" t="str">
        <v>2026-04-22</v>
      </c>
      <c r="J39" t="str">
        <v>HSB-3a-ROT-helrenovering-v6.wbr</v>
      </c>
    </row>
    <row r="40" xml:space="preserve">
      <c r="A40" t="str">
        <v>15.027</v>
      </c>
      <c r="B40" t="str">
        <v>Kakel på vägg</v>
      </c>
      <c r="C40" t="str">
        <v>m²</v>
      </c>
      <c r="D40" t="str" xml:space="preserve">
        <v xml:space="preserve">Q1.4323500 Kakelplattor, 150x150 färgade (mtrl 303, tim 0.8, UE 0, åtgång 1, spill 1.06)
Q1.4335000 Fuktskydd typ tätduk (mtrl 0, tim 0, UE 380, åtgång 1, spill 1)</v>
      </c>
      <c r="E40">
        <v>321.18</v>
      </c>
      <c r="F40">
        <v>0.8</v>
      </c>
      <c r="G40">
        <v>380</v>
      </c>
      <c r="H40">
        <v>1483</v>
      </c>
      <c r="I40" t="str">
        <v>2026-04-22</v>
      </c>
      <c r="J40" t="str">
        <v>HSB-3a-ROT-helrenovering-v6.wbr</v>
      </c>
    </row>
    <row r="41" xml:space="preserve">
      <c r="A41" t="str">
        <v>15.031</v>
      </c>
      <c r="B41" t="str">
        <v>Plastmattor på vägg</v>
      </c>
      <c r="C41" t="str">
        <v>m²</v>
      </c>
      <c r="D41" t="str" xml:space="preserve">
        <v xml:space="preserve">Q5.7321000 1,0 väggplastmatta (mtrl 0, tim 0, UE 410, åtgång 1, spill 1)
P2.2247600 Spackling skivor 59-03500 (mtrl 0, tim 0, UE 74, åtgång 1, spill 1)</v>
      </c>
      <c r="E41">
        <v>0</v>
      </c>
      <c r="F41">
        <v>0</v>
      </c>
      <c r="G41">
        <v>484</v>
      </c>
      <c r="H41">
        <v>532</v>
      </c>
      <c r="I41" t="str">
        <v>2026-04-22</v>
      </c>
      <c r="J41" t="str">
        <v>HSB-3a-ROT-helrenovering-v6.wbr</v>
      </c>
    </row>
    <row r="42">
      <c r="A42" t="str">
        <v>14.042</v>
      </c>
      <c r="B42" t="str">
        <v>Ommålning inomhus våtrum</v>
      </c>
      <c r="C42" t="str">
        <v>st</v>
      </c>
      <c r="D42" t="str">
        <v>P2.2542100 Våtrumsfärg 966-30512 VA (mtrl 0, tim 0, UE 153, åtgång 1, spill 1)</v>
      </c>
      <c r="E42">
        <v>0</v>
      </c>
      <c r="F42">
        <v>0</v>
      </c>
      <c r="G42">
        <v>153</v>
      </c>
      <c r="H42">
        <v>168</v>
      </c>
      <c r="I42" t="str">
        <v>2026-04-22</v>
      </c>
      <c r="J42" t="str">
        <v>HSB-3a-ROT-helrenovering-v6.wbr</v>
      </c>
    </row>
    <row r="43" xml:space="preserve">
      <c r="A43" t="str">
        <v>17.034</v>
      </c>
      <c r="B43" t="str">
        <v>WC-duschinredning i lägenhet</v>
      </c>
      <c r="C43" t="str">
        <v>st</v>
      </c>
      <c r="D43" t="str" xml:space="preserve">
        <v xml:space="preserve">Y3.4024000 Toalettpappershållare (mtrl 196, tim 0.17, UE 0, åtgång 1, spill 1)
Y3.4011600 Handdukshängare, 5-krok (mtrl 78, tim 0.17, UE 0, åtgång 1, spill 1)
Y3.4027000 Tvålhållare (mtrl 131, tim 0.17, UE 0, åtgång 1, spill 1)
S4.5130600 Underskåp B=600 (mtrl 3444, tim 1, UE 0, åtgång 1, spill 1)
S4.5170300 Högskåp B=300 (mtrl 2366, tim 1.1, UE 0, åtgång 1, spill 1)
S4.5300600 Bänkskiva med urtag L=600 (mtrl 1140, tim 0.5, UE 0, åtgång 1, spill 1)
S4.5400600 Inbyggnadstvättställ 560x400 (mtrl 2956, tim 0.55, UE 0, åtgång 1, spill 1)
S4.5250050 Spegel med spotlights 600x834 (mtrl 5712, tim 0.55, UE 0, åtgång 1, spill 1)
X4.1022000 Duschvägg hörn 900x900 klarglas (mtrl 7158, tim 4, UE 0, åtgång 1, spill 1)</v>
      </c>
      <c r="E43">
        <v>23181</v>
      </c>
      <c r="F43">
        <v>8.21</v>
      </c>
      <c r="G43">
        <v>0</v>
      </c>
      <c r="H43">
        <v>30816</v>
      </c>
      <c r="I43" t="str">
        <v>2026-04-22</v>
      </c>
      <c r="J43" t="str">
        <v>HSB-3a-ROT-helrenovering-v6.wbr</v>
      </c>
    </row>
    <row r="44" xml:space="preserve">
      <c r="A44" t="str">
        <v>17.032</v>
      </c>
      <c r="B44" t="str">
        <v>Badrumsinredning</v>
      </c>
      <c r="C44" t="str">
        <v>st</v>
      </c>
      <c r="D44" t="str" xml:space="preserve">
        <v xml:space="preserve">Y3.8006400 Badrumsskåp av trä + belys. B=650 (mtrl 5544, tim 0.8, UE 0, åtgång 1, spill 1)
Y3.4006100 Draghandtag, L=600 (mtrl 402, tim 0.22, UE 0, åtgång 1, spill 1)
Y3.4011600 Handdukshängare, 5-krok (mtrl 78, tim 0.17, UE 0, åtgång 1, spill 1)
Y3.4023000 Toalettborsthållare + borste (mtrl 250, tim 0.28, UE 0, åtgång 1, spill 1)
Y3.4024000 Toalettpappershållare (mtrl 196, tim 0.17, UE 0, åtgång 1, spill 1)
Y3.5002000 Torkställ över badkar (mtrl 860, tim 0.45, UE 0, åtgång 1, spill 1)</v>
      </c>
      <c r="E44">
        <v>7330</v>
      </c>
      <c r="F44">
        <v>2.09</v>
      </c>
      <c r="G44">
        <v>0</v>
      </c>
      <c r="H44">
        <v>9274</v>
      </c>
      <c r="I44" t="str">
        <v>2026-04-22</v>
      </c>
      <c r="J44" t="str">
        <v>HSB-3a-ROT-helrenovering-v6.wbr</v>
      </c>
    </row>
    <row r="45" xml:space="preserve">
      <c r="A45" t="str">
        <v>16.070</v>
      </c>
      <c r="B45" t="str">
        <v>Våtrumsdörr 9x21 PP-laminerad</v>
      </c>
      <c r="C45" t="str">
        <v>st</v>
      </c>
      <c r="D45" t="str" xml:space="preserve">
        <v xml:space="preserve">S3.2174900 9x21 laminat våtrumsdörr (mtrl 11738, tim 1.25, UE 0, åtgång 1, spill 1)
H5.1731300 Foder, 12x43 vitmålad (mtrl 25.3, tim 0.1, UE 0, åtgång 10.6, spill 1.1)
S5.1105000 Badrumströskel av ek (mtrl 205, tim 0.11, UE 0, åtgång 1, spill 1)
S5.1114000 WC-behör (mtrl 385, tim 0.11, UE 0, åtgång 1, spill 1)
S5.1121000 Trycke av metall (mtrl 265, tim 0.11, UE 0, åtgång 1, spill 1)</v>
      </c>
      <c r="E45">
        <v>12888</v>
      </c>
      <c r="F45">
        <v>2.64</v>
      </c>
      <c r="G45">
        <v>0</v>
      </c>
      <c r="H45">
        <v>15343</v>
      </c>
      <c r="I45" t="str">
        <v>2026-04-22</v>
      </c>
      <c r="J45" t="str">
        <v>HSB-3a-ROT-helrenovering-v6.wbr</v>
      </c>
    </row>
    <row r="46">
      <c r="A46" t="str">
        <v>15.022</v>
      </c>
      <c r="B46" t="str">
        <v>Plastmattor på golv</v>
      </c>
      <c r="C46" t="str">
        <v>m²</v>
      </c>
      <c r="D46" t="str">
        <v>Q3.7102000 2,0 plastmatta (mtrl 0, tim 0, UE 505, åtgång 1, spill 1)</v>
      </c>
      <c r="E46">
        <v>0</v>
      </c>
      <c r="F46">
        <v>0</v>
      </c>
      <c r="G46">
        <v>505</v>
      </c>
      <c r="H46">
        <v>556</v>
      </c>
      <c r="I46" t="str">
        <v>2026-04-22</v>
      </c>
      <c r="J46" t="str">
        <v>HSB-3a-ROT-helrenovering-v6.wbr</v>
      </c>
    </row>
    <row r="47" xml:space="preserve">
      <c r="A47" t="str">
        <v>17.030</v>
      </c>
      <c r="B47" t="str">
        <v>Tvättplatsinredning med hygienskåp</v>
      </c>
      <c r="C47" t="str">
        <v>st</v>
      </c>
      <c r="D47" t="str" xml:space="preserve">
        <v xml:space="preserve">Y3.8007100 Hygienskåp, B=475 (mtrl 2411, tim 0.7, UE 0, åtgång 1, spill 1)
Y3.4017000 Papperskorg, väggmonterad (mtrl 127, tim 0.17, UE 0, åtgång 1, spill 1)
Q1.4324000 Kakelfrimärke, 750x450 vita (mtrl 70, tim 0.8, UE 0, åtgång 1, spill 1.05)</v>
      </c>
      <c r="E47">
        <v>2611.5</v>
      </c>
      <c r="F47">
        <v>1.67</v>
      </c>
      <c r="G47">
        <v>0</v>
      </c>
      <c r="H47">
        <v>4165</v>
      </c>
      <c r="I47" t="str">
        <v>2026-04-22</v>
      </c>
      <c r="J47" t="str">
        <v>HSB-3a-ROT-helrenovering-v6.wbr</v>
      </c>
    </row>
    <row r="48" xml:space="preserve">
      <c r="A48" t="str">
        <v>16.059</v>
      </c>
      <c r="B48" t="str">
        <v>Toalettinnerdörr 9x21 målad</v>
      </c>
      <c r="C48" t="str">
        <v>st</v>
      </c>
      <c r="D48" t="str" xml:space="preserve">
        <v xml:space="preserve">S3.2100900 9x21 målad lättdörr (mtrl 1449, tim 0.85, UE 0, åtgång 1, spill 1)
H5.1731300 Foder, 12x43 vitmålad (mtrl 25.3, tim 0.1, UE 0, åtgång 10.6, spill 1.1)
S5.1105000 Badrumströskel av ek (mtrl 205, tim 0.11, UE 0, åtgång 1, spill 1)
S5.1114000 WC-behör (mtrl 385, tim 0.11, UE 0, åtgång 1, spill 1)
S5.1121000 Trycke av metall (mtrl 265, tim 0.11, UE 0, åtgång 1, spill 1)</v>
      </c>
      <c r="E48">
        <v>2599</v>
      </c>
      <c r="F48">
        <v>2.24</v>
      </c>
      <c r="G48">
        <v>0</v>
      </c>
      <c r="H48">
        <v>4682</v>
      </c>
      <c r="I48" t="str">
        <v>2026-04-22</v>
      </c>
      <c r="J48" t="str">
        <v>HSB-3a-ROT-helrenovering-v6.wbr</v>
      </c>
    </row>
    <row r="49">
      <c r="A49" t="str">
        <v>19.001</v>
      </c>
      <c r="B49" t="str">
        <v>Borttransport rivningsmassor</v>
      </c>
      <c r="C49" t="str">
        <v>m³</v>
      </c>
      <c r="D49" t="str">
        <v>R7.7800100 Borttransport rivningsmassor (mtrl 0, tim 0, UE 265, åtgång 1, spill 1)</v>
      </c>
      <c r="E49">
        <v>0</v>
      </c>
      <c r="F49">
        <v>0</v>
      </c>
      <c r="G49">
        <v>265</v>
      </c>
      <c r="H49">
        <v>292</v>
      </c>
      <c r="I49" t="str">
        <v>2026-04-22</v>
      </c>
      <c r="J49" t="str">
        <v>HSB-3a-ROT-helrenovering-v6.wbr</v>
      </c>
    </row>
    <row r="50" xml:space="preserve">
      <c r="A50" t="str">
        <v>19.002</v>
      </c>
      <c r="B50" t="str">
        <v>Tippavgifter rivningsmassor</v>
      </c>
      <c r="C50" t="str">
        <v>st</v>
      </c>
      <c r="D50" t="str" xml:space="preserve">
        <v xml:space="preserve">R7.7801000 Tippavgift omålat virke (mtrl 250, tim 0, UE 0, åtgång 1, spill 1)
R7.7801500 Tippavgift målat virke (mtrl 450, tim 0, UE 0, åtgång 1, spill 1)
R7.7801800 Tippavgift tryckimp virke (mtrl 1600, tim 0, UE 0, åtgång 1, spill 1)
R7.7802000 Tippavgift betong, lättbtg, tegel mm (mtrl 1050, tim 0, UE 0, åtgång 1, spill 1)
R7.7802500 Tippavgift armerad betong (mtrl 1050, tim 0, UE 0, åtgång 1, spill 1)
R7.7804000 Tippavgift asbest (mtrl 1600, tim 0, UE 0, åtgång 1, spill 1)
R7.7804500 Tippavgift asfalt (mtrl 1095, tim 0, UE 0, åtgång 1, spill 1)
R7.7805000 Tippavgift komposterbart material (mtrl 1050, tim 0, UE 0, åtgång 1, spill 1)
R7.7806000 Tippavgift osorterat material (mtrl 1850, tim 0, UE 0, åtgång 1, spill 1)
R7.7807000 Tippavgift kyl-frys (mtrl 600, tim 0, UE 0, åtgång 1, spill 1)
R7.7808000 Tippavgift elektronik (mtrl 300, tim 0, UE 0, åtgång 1, spill 1)</v>
      </c>
      <c r="E50">
        <v>10895</v>
      </c>
      <c r="F50">
        <v>0</v>
      </c>
      <c r="G50">
        <v>0</v>
      </c>
      <c r="H50">
        <v>10895</v>
      </c>
      <c r="I50" t="str">
        <v>2026-04-22</v>
      </c>
      <c r="J50" t="str">
        <v>HSB-3a-ROT-helrenovering-v6.wbr</v>
      </c>
    </row>
    <row r="51" xml:space="preserve">
      <c r="A51" t="str">
        <v>21.001</v>
      </c>
      <c r="B51" t="str">
        <v>Arbetsplatsorganisation</v>
      </c>
      <c r="C51" t="str">
        <v>st</v>
      </c>
      <c r="D51" t="str" xml:space="preserve">
        <v xml:space="preserve">A8.1210500 Telefon, kopiering, kontorsmaterial (mtrl 0, tim 0, UE 0, åtgång 1, spill 1)
A8.2976000 Betongprovning (mtrl 0, tim 0, UE 0, åtgång 1, spill 1)
A8.1211500 Skydd, intäckningar (mtrl 0, tim 0, UE 0, åtgång 1, spill 1)
A1.1111000 Skyltställning (mtrl 12463, tim 16, UE 0, åtgång 1, spill 1)
B1.3001500 Utsättning (mtrl 0, tim 0, UE 0, åtgång 1, spill 1)
A8.1216000 Skyddsräcken (mtrl 0, tim 0, UE 0, åtgång 1, spill 1)
A8.1216500 Dammskydd (mtrl 0, tim 0, UE 0, åtgång 1, spill 1)
A8.1217000 Övertidsersättning, skift, övrigt (mtrl 0, tim 0, UE 0, åtgång 1, spill 1)</v>
      </c>
      <c r="E51">
        <v>12463</v>
      </c>
      <c r="F51">
        <v>16</v>
      </c>
      <c r="G51">
        <v>0</v>
      </c>
      <c r="H51">
        <v>27343</v>
      </c>
      <c r="I51" t="str">
        <v>2026-04-22</v>
      </c>
      <c r="J51" t="str">
        <v>HSB-3a-ROT-helrenovering-v6.wbr</v>
      </c>
    </row>
    <row r="52" xml:space="preserve">
      <c r="A52" t="str">
        <v>21.002</v>
      </c>
      <c r="B52" t="str">
        <v>Provisoriska bodar, inhägnader</v>
      </c>
      <c r="C52" t="str">
        <v>st</v>
      </c>
      <c r="D52" t="str" xml:space="preserve">
        <v xml:space="preserve">A8.2933200 Kontorsbod-24m²,komb,wc,pentry (mtrl 5892, tim 0, UE 0, åtgång 1, spill 1)
A8.2931200 Personalbod-6 man, tvätt/dusch (mtrl 6345, tim 0, UE 0, åtgång 1, spill 1)
A8.2935200 Toalettbod-dubbel, slam/wc (mtrl 3059, tim 0, UE 0, åtgång 1, spill 1)
A8.1312000 Verkstadsbod 40 m² (mtrl 4645, tim 0, UE 0, åtgång 1, spill 1)
A8.2939200 Förrådscontainer, 20 fot (mtrl 1926, tim 0, UE 0, åtgång 1, spill 1)
A1.1217000 Städning bodar (mtrl 2850, tim 0, UE 0, åtgång 1, spill 1)
A1.1217500 Uppvärmning bodar (mtrl 0, tim 0, UE 0, åtgång 1, spill 1)
A1.1110500 Etablering (mtrl 0, tim 0, UE 0, åtgång 1, spill 1)</v>
      </c>
      <c r="E52">
        <v>24717</v>
      </c>
      <c r="F52">
        <v>0</v>
      </c>
      <c r="G52">
        <v>0</v>
      </c>
      <c r="H52">
        <v>24717</v>
      </c>
      <c r="I52" t="str">
        <v>2026-04-22</v>
      </c>
      <c r="J52" t="str">
        <v>HSB-3a-ROT-helrenovering-v6.wbr</v>
      </c>
    </row>
    <row r="53" xml:space="preserve">
      <c r="A53" t="str">
        <v>21.003</v>
      </c>
      <c r="B53" t="str">
        <v>Handverktyg</v>
      </c>
      <c r="C53" t="str">
        <v>st</v>
      </c>
      <c r="D53" t="str" xml:space="preserve">
        <v xml:space="preserve">A8.2820800 Skruvdragare batteri, 8 mm (mtrl 85, tim 0, UE 0, åtgång 1, spill 1)
A8.2822600 Spikpistol luftdriven -100 mm (mtrl 94, tim 0, UE 0, åtgång 1, spill 1)
A8.2845200 Handborrmaskin stål 220 V -16mm (mtrl 58, tim 0, UE 0, åtgång 1, spill 1)
A8.2642900 Slangar /m (mtrl 0, tim 0, UE 0, åtgång 1, spill 1)
A8.2831000 Handcirkelsåg 220 V (mtrl 85, tim 0, UE 0, åtgång 1, spill 1)
A8.2833000 Byggsåg, kap, klyv 380V dj 175 mm (mtrl 313, tim 0, UE 0, åtgång 1, spill 1)
A8.2841200 Betongslipmaskin golv 220 V (mtrl 201, tim 0, UE 0, åtgång 1, spill 1)
A8.2950400 Dammsugare 220 V 2,3 kW (mtrl 140, tim 0, UE 0, åtgång 1, spill 1)
A8.2911200 Avvägningsinstrument laser vert/hor (mtrl 482, tim 0, UE 0, åtgång 1, spill 1)
A8.2161600 Släpkärra för personbil 900 kg (mtrl 297, tim 0, UE 0, åtgång 1, spill 1)</v>
      </c>
      <c r="E53">
        <v>1755</v>
      </c>
      <c r="F53">
        <v>0</v>
      </c>
      <c r="G53">
        <v>0</v>
      </c>
      <c r="H53">
        <v>1755</v>
      </c>
      <c r="I53" t="str">
        <v>2026-04-22</v>
      </c>
      <c r="J53" t="str">
        <v>HSB-3a-ROT-helrenovering-v6.wbr</v>
      </c>
    </row>
    <row r="54" xml:space="preserve">
      <c r="A54" t="str">
        <v>21.004</v>
      </c>
      <c r="B54" t="str">
        <v>Maskiner på arbetsplatsen</v>
      </c>
      <c r="C54" t="str">
        <v>st</v>
      </c>
      <c r="D54" t="str" xml:space="preserve">
        <v xml:space="preserve">A8.2340600 Betongblandare tipp 220 V 125 l (mtrl 102, tim 0, UE 0, åtgång 1, spill 1)
A8.2470600 Stavvibrator med motor  25-75 mm (mtrl 184, tim 0, UE 0, åtgång 1, spill 1)
A8.2472200 Vibratorbalk dubbel -6,25 m (mtrl 1189, tim 0, UE 0, åtgång 1, spill 1)
F1.1100600 Hakställning (mtrl 42, tim 0.18, UE 0, åtgång 1, spill 1)
A8.2473200 Glättningsmaskin 380 V 900 mm (mtrl 386, tim 0, UE 0, åtgång 1, spill 1)
A8.2522800 Huvudcentral 63 A (mtrl 92, tim 0, UE 0, åtgång 1, spill 1)
A8.2525800 Kablar 16A/m (mtrl 3, tim 0, UE 0, åtgång 1, spill 1)
A8.2531400 Kompr.på hjul 16 A -0,5 m³/min (mtrl 157, tim 0, UE 0, åtgång 1, spill 1)
A8.2566200 Värmefläkt 380 V 9-14 kW (mtrl 55, tim 0, UE 0, åtgång 1, spill 1)
A2.1212000 Mobilkran 45 ton (mtrl 0, tim 0, UE 1450, åtgång 1, spill 1)
A8.2852800 Bockmaskin elmek 380 V 20 mm (mtrl 507, tim 0, UE 0, åtgång 1, spill 1)
A8.2970000 Maskinmontage (mtrl 0, tim 0, UE 0, åtgång 1, spill 1)
A8.2971000 Maskinreparationer (mtrl 0, tim 0, UE 0, åtgång 1, spill 1)
A8.2975000 Drivmedel (mtrl 0, tim 0, UE 0, åtgång 1, spill 1)</v>
      </c>
      <c r="E54">
        <v>2717</v>
      </c>
      <c r="F54">
        <v>0.18</v>
      </c>
      <c r="G54">
        <v>1450</v>
      </c>
      <c r="H54">
        <v>4479</v>
      </c>
      <c r="I54" t="str">
        <v>2026-04-22</v>
      </c>
      <c r="J54" t="str">
        <v>HSB-3a-ROT-helrenovering-v6.wbr</v>
      </c>
    </row>
    <row r="55" xml:space="preserve">
      <c r="A55" t="str">
        <v>21.005</v>
      </c>
      <c r="B55" t="str">
        <v>Diverse transporter</v>
      </c>
      <c r="C55" t="str">
        <v>st</v>
      </c>
      <c r="D55" t="str" xml:space="preserve">
        <v xml:space="preserve">A8.3111000 Container, sophantering (mtrl 1260, tim 0, UE 0, åtgång 1, spill 1)
A8.3111500 Lastbil (mtrl 1008, tim 0, UE 0, åtgång 1, spill 1)
A8.3113000 Interna transporter (mtrl 0, tim 0, UE 0, åtgång 1, spill 1)
A8.3113500 Externa transporter (mtrl 0, tim 0, UE 0, åtgång 1, spill 1)</v>
      </c>
      <c r="E55">
        <v>2268</v>
      </c>
      <c r="F55">
        <v>0</v>
      </c>
      <c r="G55">
        <v>0</v>
      </c>
      <c r="H55">
        <v>2268</v>
      </c>
      <c r="I55" t="str">
        <v>2026-04-22</v>
      </c>
      <c r="J55" t="str">
        <v>HSB-3a-ROT-helrenovering-v6.wbr</v>
      </c>
    </row>
    <row r="56" xml:space="preserve">
      <c r="A56" t="str">
        <v>21.008</v>
      </c>
      <c r="B56" t="str">
        <v>Städning, rengöring</v>
      </c>
      <c r="C56" t="str">
        <v>st</v>
      </c>
      <c r="D56" t="str" xml:space="preserve">
        <v xml:space="preserve">A8.3410100 Byggstädning (mtrl 0, tim 0, UE 0, åtgång 1, spill 1)
A8.3411000 Slutstädning (15:-/m²) (mtrl 0, tim 0, UE 0, åtgång 1, spill 1)
A8.3411500 Fönsterputsning (mtrl 0, tim 0, UE 0, åtgång 1, spill 1)
A8.3412000 Förbrukningsmaterial (mtrl 0, tim 0, UE 0, åtgång 1, spill 1)
A8.3413000 Avstädning arbetsplats (mtrl 0, tim 0, UE 0, åtgång 1, spill 1)</v>
      </c>
      <c r="E56">
        <v>0</v>
      </c>
      <c r="F56">
        <v>0</v>
      </c>
      <c r="G56">
        <v>0</v>
      </c>
      <c r="H56">
        <v>0</v>
      </c>
      <c r="I56" t="str">
        <v>2026-04-22</v>
      </c>
      <c r="J56" t="str">
        <v>HSB-3a-ROT-helrenovering-v6.wbr</v>
      </c>
    </row>
    <row r="57" xml:space="preserve">
      <c r="A57" t="str">
        <v>21.009</v>
      </c>
      <c r="B57" t="str">
        <v>Arbetsledning</v>
      </c>
      <c r="C57" t="str">
        <v>st</v>
      </c>
      <c r="D57" t="str" xml:space="preserve">
        <v xml:space="preserve">A8.3510100 Platschef (mtrl 90626, tim 0, UE 0, åtgång 1, spill 1)
A8.3510500 Arbetsledare (mtrl 74419, tim 0, UE 0, åtgång 1, spill 1)
A8.3513000 Bilkostnader (mtrl 0, tim 0, UE 0, åtgång 1, spill 1)</v>
      </c>
      <c r="E57">
        <v>165045</v>
      </c>
      <c r="F57">
        <v>0</v>
      </c>
      <c r="G57">
        <v>0</v>
      </c>
      <c r="H57">
        <v>165045</v>
      </c>
      <c r="I57" t="str">
        <v>2026-04-22</v>
      </c>
      <c r="J57" t="str">
        <v>HSB-3a-ROT-helrenovering-v6.wbr</v>
      </c>
    </row>
    <row r="58" xml:space="preserve">
      <c r="A58" t="str">
        <v>21.012</v>
      </c>
      <c r="B58" t="str">
        <v>Centraladm, risk, vinst.</v>
      </c>
      <c r="C58" t="str">
        <v>st</v>
      </c>
      <c r="D58" t="str" xml:space="preserve">
        <v xml:space="preserve">A8.3810100 Vinst (mtrl 0, tim 0, UE 0, åtgång 1, spill 1)
A8.3810500 Risk (mtrl 0, tim 0, UE 0, åtgång 1, spill 1)
A8.3811500 Kontorshyra (mtrl 0, tim 0, UE 0, åtgång 1, spill 1)
A7.2114600 Kontorsdrift, telefoni, data mm (mtrl 0, tim 0, UE 0, åtgång 1, spill 1)
A8.3812500 Arbetschef (mtrl 0, tim 0, UE 0, åtgång 1, spill 1)
A8.3813000 Kalkylator (mtrl 0, tim 0, UE 0, åtgång 1, spill 1)
A8.3813500 Bankgaranti, borgen (mtrl 0, tim 0, UE 0, åtgång 1, spill 1)
A8.3814000 Garantiarbeten (mtrl 0, tim 0, UE 0, åtgång 1, spill 1)
A8.3815500 Utbildning, kvalitetssäkring (mtrl 0, tim 0, UE 0, åtgång 1, spill 1)
A8.3816500 Resor (mtrl 0, tim 0, UE 0, åtgång 1, spill 1)
A8.3818000 Besiktningskostnader, justeringar (mtrl 0, tim 0, UE 0, åtgång 1, spill 1)
A8.3819000 Representation, reklam (mtrl 0, tim 0, UE 0, åtgång 1, spill 1)</v>
      </c>
      <c r="E58">
        <v>0</v>
      </c>
      <c r="F58">
        <v>0</v>
      </c>
      <c r="G58">
        <v>0</v>
      </c>
      <c r="H58">
        <v>0</v>
      </c>
      <c r="I58" t="str">
        <v>2026-04-22</v>
      </c>
      <c r="J58" t="str">
        <v>HSB-3a-ROT-helrenovering-v6.wbr</v>
      </c>
    </row>
    <row r="59" xml:space="preserve">
      <c r="A59" t="str">
        <v>21.016</v>
      </c>
      <c r="B59" t="str">
        <v>Teknisk dokumentation för hus</v>
      </c>
      <c r="C59" t="str">
        <v>st</v>
      </c>
      <c r="D59" t="str" xml:space="preserve">
        <v xml:space="preserve">Y2.3001100 Ansökningshandlingar för hus (mtrl 0, tim 0, UE 0, åtgång 1, spill 1)
Y9.1000310 Kontrollplaner för hus (mtrl 0, tim 0, UE 0, åtgång 1, spill 1)
Y9.1005020 Bygghandlingar för hus (mtrl 0, tim 0, UE 0, åtgång 1, spill 1)
Y9.1005030 Relationshandlingar för hus (mtrl 0, tim 0, UE 0, åtgång 1, spill 1)
Y9.1005040 Digital förvaltningsinformation för hus (mtrl 0, tim 0, UE 0, åtgång 1, spill 1)
Y9.1005050 Miljödokumentation för hus (mtrl 0, tim 0, UE 0, åtgång 1, spill 1)
Y9.1005055 Produktdokumentation för hus (mtrl 0, tim 0, UE 0, åtgång 1, spill 1)
Y9.1005060 Driftinstruktioner för hus (mtrl 0, tim 0, UE 0, åtgång 1, spill 1)
Y9.1005065 Underhållsinstruktioner för hus (mtrl 0, tim 0, UE 0, åtgång 1, spill 1)
Y9.1005075 Säkerhetsinstruktioner för hus (mtrl 0, tim 0, UE 0, åtgång 1, spill 1)
Y9.1005080 Brukarinstruktioner för hus (mtrl 0, tim 0, UE 0, åtgång 1, spill 1)</v>
      </c>
      <c r="E59">
        <v>0</v>
      </c>
      <c r="F59">
        <v>0</v>
      </c>
      <c r="G59">
        <v>0</v>
      </c>
      <c r="H59">
        <v>0</v>
      </c>
      <c r="I59" t="str">
        <v>2026-04-22</v>
      </c>
      <c r="J59" t="str">
        <v>HSB-3a-ROT-helrenovering-v6.wbr</v>
      </c>
    </row>
  </sheetData>
  <ignoredErrors>
    <ignoredError numberStoredAsText="1" sqref="A1:J59"/>
  </ignoredErrors>
</worksheet>
</file>

<file path=xl/worksheets/sheet5.xml><?xml version="1.0" encoding="utf-8"?>
<worksheet xmlns="http://schemas.openxmlformats.org/spreadsheetml/2006/main" xmlns:r="http://schemas.openxmlformats.org/officeDocument/2006/relationships">
  <dimension ref="A1:B167"/>
  <sheetViews>
    <sheetView workbookViewId="0" rightToLeft="0"/>
  </sheetViews>
  <sheetData>
    <row r="1">
      <c r="A1" t="str">
        <v>MASTER.XLSX — Förklaring</v>
      </c>
    </row>
    <row r="2">
      <c r="A2" t="str">
        <v/>
      </c>
    </row>
    <row r="3">
      <c r="A3" t="str">
        <v>Denna fil är sanningen för alla priser och rumskonfigurationer i appen.</v>
      </c>
    </row>
    <row r="4">
      <c r="A4" t="str">
        <v>Dennis redigerar här. scripts/build-config.js läser och genererar app-config.json.</v>
      </c>
    </row>
    <row r="5">
      <c r="A5" t="str">
        <v/>
      </c>
    </row>
    <row r="6">
      <c r="A6" t="str">
        <v>══════════════════════════════════════════════════════════</v>
      </c>
    </row>
    <row r="7">
      <c r="A7" t="str">
        <v>FLIK 1 — Priser</v>
      </c>
    </row>
    <row r="8">
      <c r="A8" t="str">
        <v>══════════════════════════════════════════════════════════</v>
      </c>
    </row>
    <row r="9">
      <c r="A9" t="str">
        <v>En rad per unik post (både Wikells-härledda och egna).</v>
      </c>
    </row>
    <row r="10">
      <c r="A10" t="str">
        <v/>
      </c>
    </row>
    <row r="11">
      <c r="A11" t="str">
        <v>KOLUMN</v>
      </c>
      <c r="B11" t="str">
        <v>BESKRIVNING</v>
      </c>
    </row>
    <row r="12">
      <c r="A12" t="str">
        <v>Post-ID</v>
      </c>
      <c r="B12" t="str">
        <v>Unik ID i snake_case. Används i Flik 3 och i appkod.</v>
      </c>
    </row>
    <row r="13">
      <c r="A13" t="str">
        <v>Kategori</v>
      </c>
      <c r="B13" t="str">
        <v>UI-sektion: Golv, Vägg, Tak, Lister, Målning, Tillval, Inredning, Rivning, Förberedelse, UE, Övrigt</v>
      </c>
    </row>
    <row r="14">
      <c r="A14" t="str">
        <v>Etikett</v>
      </c>
      <c r="B14" t="str">
        <v>Vad slutkund ser i UI. Dennis redigerar för enkelhet.</v>
      </c>
    </row>
    <row r="15">
      <c r="A15" t="str">
        <v>Wikells originalnamn</v>
      </c>
      <c r="B15" t="str">
        <v>Auto-fylls av initial-extraktor från wbr &lt;Identitet&gt;. Visas INTE i appen. Används för källspårning.</v>
      </c>
    </row>
    <row r="16">
      <c r="A16" t="str">
        <v>Enhet</v>
      </c>
      <c r="B16" t="str">
        <v>kr/m², kr/st, kr/m² vägg, kr/m, schablon</v>
      </c>
    </row>
    <row r="17">
      <c r="A17" t="str">
        <v>Pris (kr)</v>
      </c>
      <c r="B17" t="str">
        <v>Formel eller hårdkodat värde. Se §3.3 i promptfilen.</v>
      </c>
    </row>
    <row r="18">
      <c r="A18" t="str">
        <v>Pris-källa</v>
      </c>
      <c r="B18" t="str">
        <v>Wikells, Byggbiten, HSB-förhandlat, Beijer, Placeholder</v>
      </c>
    </row>
    <row r="19">
      <c r="A19" t="str">
        <v>Wikells-ID</v>
      </c>
      <c r="B19" t="str">
        <v>Format kap.nnn (t.ex. 15.016). Slår upp i Flik 4.</v>
      </c>
    </row>
    <row r="20">
      <c r="A20" t="str">
        <v>Mtrl (kr)</v>
      </c>
      <c r="B20" t="str">
        <v>Materialpris per enhet (endast enkla Wikells-artiklar).</v>
      </c>
    </row>
    <row r="21">
      <c r="A21" t="str">
        <v>Tim (h)</v>
      </c>
      <c r="B21" t="str">
        <v>Timmar per enhet (endast enkla Wikells-artiklar).</v>
      </c>
    </row>
    <row r="22">
      <c r="A22" t="str">
        <v>UE (kr)</v>
      </c>
      <c r="B22" t="str">
        <v>UE per enhet (endast enkla Wikells-artiklar).</v>
      </c>
    </row>
    <row r="23">
      <c r="A23" t="str">
        <v>Spillfaktor</v>
      </c>
      <c r="B23" t="str">
        <v>Defaultvärde 1.0. Wikells-artiklar har ofta 1.07–1.1.</v>
      </c>
    </row>
    <row r="24">
      <c r="A24" t="str">
        <v>Beräkning-flaggor</v>
      </c>
      <c r="B24" t="str">
        <v>hasCount, hasArea, wallCalc, perimeterCalc, reducesFloor, placeholder, inheritsParentArea, inheritsReducesFloor</v>
      </c>
    </row>
    <row r="25">
      <c r="A25" t="str">
        <v>Smart-mappning</v>
      </c>
      <c r="B25" t="str">
        <v>Fritext om posten ärver eller ersätter annan.</v>
      </c>
    </row>
    <row r="26">
      <c r="A26" t="str">
        <v>Wikells-artiklar (rå)</v>
      </c>
      <c r="B26" t="str">
        <v>Auto-fylls av initial-extraktor. Semi-separerade. Visas INTE i appen.</v>
      </c>
    </row>
    <row r="27">
      <c r="A27" t="str">
        <v>Ingår (visas i app)</v>
      </c>
      <c r="B27" t="str">
        <v>Dennis förenkling. Semi-separerade. DETTA är vad kund ser i expand-panel.</v>
      </c>
    </row>
    <row r="28">
      <c r="A28" t="str">
        <v>Ingår EJ (visas i app)</v>
      </c>
      <c r="B28" t="str">
        <v>Dennis fri text — ingen motsvarande Wikells-källa.</v>
      </c>
    </row>
    <row r="29">
      <c r="A29" t="str">
        <v>Wikells-ref (visningstext)</v>
      </c>
      <c r="B29" t="str">
        <v>Kort visnings-referens i expand-panel.</v>
      </c>
    </row>
    <row r="30">
      <c r="A30" t="str">
        <v>Anmärkning</v>
      </c>
      <c r="B30" t="str">
        <v>Intern — visas inte i UI.</v>
      </c>
    </row>
    <row r="31">
      <c r="A31" t="str">
        <v/>
      </c>
    </row>
    <row r="32">
      <c r="A32" t="str">
        <v>WIKELLS-FORMELN:</v>
      </c>
    </row>
    <row r="33">
      <c r="A33" t="str">
        <v>Pris = Mtrl × Spillfaktor + Tim × 930 + UE × 1.10</v>
      </c>
    </row>
    <row r="34">
      <c r="A34" t="str">
        <v>där 930 = 250 kr/h × 3.72 omkostnadspåslag</v>
      </c>
    </row>
    <row r="35">
      <c r="A35" t="str">
        <v>och 1.10 = 10 % UE-påslag</v>
      </c>
    </row>
    <row r="36">
      <c r="A36" t="str">
        <v/>
      </c>
    </row>
    <row r="37">
      <c r="A37" t="str">
        <v>Excel-regler: Öppna alltid i Microsoft Excel (inte LibreOffice/Numbers).</v>
      </c>
    </row>
    <row r="38">
      <c r="A38" t="str">
        <v>Vid Ctrl+S räknar Excel om alla formelvärden automatiskt.</v>
      </c>
    </row>
    <row r="39">
      <c r="A39" t="str">
        <v/>
      </c>
    </row>
    <row r="40">
      <c r="A40" t="str">
        <v>══════════════════════════════════════════════════════════</v>
      </c>
    </row>
    <row r="41">
      <c r="A41" t="str">
        <v>FLIK 2 — Rumstyper</v>
      </c>
    </row>
    <row r="42">
      <c r="A42" t="str">
        <v>══════════════════════════════════════════════════════════</v>
      </c>
    </row>
    <row r="43">
      <c r="A43" t="str">
        <v>En rad per rumstyp. Styr rumstyps-väljaren + default-yta + ikon.</v>
      </c>
    </row>
    <row r="44">
      <c r="A44" t="str">
        <v/>
      </c>
    </row>
    <row r="45">
      <c r="A45" t="str">
        <v>══════════════════════════════════════════════════════════</v>
      </c>
    </row>
    <row r="46">
      <c r="A46" t="str">
        <v>FLIK 3 — Rum × poster (HJÄRTAT)</v>
      </c>
    </row>
    <row r="47">
      <c r="A47" t="str">
        <v>══════════════════════════════════════════════════════════</v>
      </c>
    </row>
    <row r="48">
      <c r="A48" t="str">
        <v>En rad per post-visning i en specifik rumstyp.</v>
      </c>
    </row>
    <row r="49">
      <c r="A49" t="str">
        <v>En post som visas i 5 rum → 5 rader.</v>
      </c>
    </row>
    <row r="50">
      <c r="A50" t="str">
        <v/>
      </c>
    </row>
    <row r="51">
      <c r="A51" t="str">
        <v>RADIO-GRUPPER:</v>
      </c>
    </row>
    <row r="52">
      <c r="A52" t="str">
        <v>Poster i samma Radio-grupp + samma Rumstyp = ömsesidigt uteslutande.</v>
      </c>
    </row>
    <row r="53">
      <c r="A53" t="str">
        <v>Tom Radio-grupp = vanlig checkbox.</v>
      </c>
    </row>
    <row r="54">
      <c r="A54" t="str">
        <v/>
      </c>
    </row>
    <row r="55">
      <c r="A55" t="str">
        <v>FÖLJEPOSTER:</v>
      </c>
    </row>
    <row r="56">
      <c r="A56" t="str">
        <v>Typ A = per-parent (t.ex. rivning under ekparkett). En rad per förälder.</v>
      </c>
    </row>
    <row r="57">
      <c r="A57" t="str">
        <v>Typ B = rumsscope (t.ex. skyddstäckning triggad av målning). En rad per rumstyp.</v>
      </c>
    </row>
    <row r="58">
      <c r="A58" t="str">
        <v/>
      </c>
    </row>
    <row r="59">
      <c r="A59" t="str">
        <v>══════════════════════════════════════════════════════════</v>
      </c>
    </row>
    <row r="60">
      <c r="A60" t="str">
        <v>FLIK 4 — Wbr-byggdelar (arkiv)</v>
      </c>
    </row>
    <row r="61">
      <c r="A61" t="str">
        <v>══════════════════════════════════════════════════════════</v>
      </c>
    </row>
    <row r="62">
      <c r="A62" t="str">
        <v>Rå Wikells-data från .wbr-filen. Används INTE av appen direkt.</v>
      </c>
    </row>
    <row r="63">
      <c r="A63" t="str">
        <v>Underlag för att jämföra gamla vs nya priser när ny wbr kommer.</v>
      </c>
    </row>
    <row r="64">
      <c r="A64" t="str">
        <v/>
      </c>
    </row>
    <row r="65">
      <c r="A65" t="str">
        <v>══════════════════════════════════════════════════════════</v>
      </c>
    </row>
    <row r="66">
      <c r="A66" t="str">
        <v>HUR MAN LÄGGER TILL EN NY POST</v>
      </c>
    </row>
    <row r="67">
      <c r="A67" t="str">
        <v>══════════════════════════════════════════════════════════</v>
      </c>
    </row>
    <row r="68">
      <c r="A68" t="str">
        <v>1. Hitta Wikells-byggdelen i Flik 4 eller bestäm att det är en Byggbiten-post.</v>
      </c>
    </row>
    <row r="69">
      <c r="A69" t="str">
        <v>2. Lägg till rad i Flik 1 med Post-ID (snake_case), Etikett, Pris, Pris-källa, etc.</v>
      </c>
    </row>
    <row r="70">
      <c r="A70" t="str">
        <v>3. Lägg till en rad i Flik 3 för varje rumstyp där posten ska visas.</v>
      </c>
    </row>
    <row r="71">
      <c r="A71" t="str">
        <v>4. Spara filen (Ctrl+S).</v>
      </c>
    </row>
    <row r="72">
      <c r="A72" t="str">
        <v>5. Kör: npm run build-config. Verifiera ingen valideringsfel.</v>
      </c>
    </row>
    <row r="73">
      <c r="A73" t="str">
        <v>6. Refresha appen i webbläsaren. Posten visas nu.</v>
      </c>
    </row>
    <row r="74">
      <c r="A74" t="str">
        <v/>
      </c>
    </row>
    <row r="75">
      <c r="A75" t="str">
        <v>══════════════════════════════════════════════════════════</v>
      </c>
    </row>
    <row r="76">
      <c r="A76" t="str">
        <v>HUR MAN UPPDATERAR PRISER FRÅN NY WBR</v>
      </c>
    </row>
    <row r="77">
      <c r="A77" t="str">
        <v>══════════════════════════════════════════════════════════</v>
      </c>
    </row>
    <row r="78">
      <c r="A78" t="str">
        <v>(Kommer som separat prompt när Fas 1+2 är stabila. Tills vidare: manuell redigering.)</v>
      </c>
    </row>
    <row r="79">
      <c r="A79" t="str">
        <v/>
      </c>
    </row>
    <row r="80">
      <c r="A80" t="str">
        <v>══════════════════════════════════════════════════════════</v>
      </c>
    </row>
    <row r="81">
      <c r="A81" t="str">
        <v>KÄND SÅRBARHET: xlsx@0.18.5 (prototype pollution, ReDoS)</v>
      </c>
    </row>
    <row r="82">
      <c r="A82" t="str">
        <v>══════════════════════════════════════════════════════════</v>
      </c>
    </row>
    <row r="83">
      <c r="A83" t="str">
        <v>npm-paketet xlsx@0.18.5 har kända CVE. I vårt fall kör det bara lokalt mot</v>
      </c>
    </row>
    <row r="84">
      <c r="A84" t="str">
        <v>denna master.xlsx. Ingen användar-upload, ingen extern input. Risken är</v>
      </c>
    </row>
    <row r="85">
      <c r="A85" t="str">
        <v>obefintlig för vårt usecase. Om appen någon gång börjar acceptera XLSX-filer</v>
      </c>
    </row>
    <row r="86">
      <c r="A86" t="str">
        <v>från HSB-användare — byt till SheetJS CDN-versionen xlsx@0.20+.</v>
      </c>
    </row>
    <row r="88">
      <c r="A88" t="str">
        <v/>
      </c>
    </row>
    <row r="89">
      <c r="A89" t="str">
        <v>══════════════════════════════════════════════════════════</v>
      </c>
    </row>
    <row r="90">
      <c r="A90" t="str">
        <v>PRINCIP (2026-04-22): Vad ingår i en Wikells-byggdel?</v>
      </c>
    </row>
    <row r="91">
      <c r="A91" t="str">
        <v>══════════════════════════════════════════════════════════</v>
      </c>
    </row>
    <row r="92">
      <c r="A92" t="str">
        <v>Wikells-byggdelar ska innehålla ENDAST renoveringsarbete:</v>
      </c>
    </row>
    <row r="93">
      <c r="A93" t="str">
        <v xml:space="preserve">  • Underarbete (rivning, flytspackling, förberedelse)</v>
      </c>
    </row>
    <row r="94">
      <c r="A94" t="str">
        <v xml:space="preserve">  • Skivmaterial (gips, golvspånskivor)</v>
      </c>
    </row>
    <row r="95">
      <c r="A95" t="str">
        <v xml:space="preserve">  • Tätskikt (folie, cementbaserat, tätduk)</v>
      </c>
    </row>
    <row r="96">
      <c r="A96" t="str">
        <v xml:space="preserve">  • Ytskikt (klinker, kakel, matta, färg, parkett)</v>
      </c>
    </row>
    <row r="97">
      <c r="A97" t="str">
        <v xml:space="preserve">  • List och beslag som är del av en ytprodukt (foder, trösklar, trycken, sockellister för torra rum)</v>
      </c>
    </row>
    <row r="98">
      <c r="A98" t="str">
        <v/>
      </c>
    </row>
    <row r="99">
      <c r="A99" t="str">
        <v>INREDNING räknas INTE som renoveringsarbete:</v>
      </c>
    </row>
    <row r="100">
      <c r="A100" t="str">
        <v xml:space="preserve">  • Sanitetsporslin (WC-stol, tvättställ)</v>
      </c>
    </row>
    <row r="101">
      <c r="A101" t="str">
        <v xml:space="preserve">  • VVS-inredning (blandare, duschvägg, duschset)</v>
      </c>
    </row>
    <row r="102">
      <c r="A102" t="str">
        <v xml:space="preserve">  • Skåp (kommod, högskåp, väggskåp, badrumsskåp)</v>
      </c>
    </row>
    <row r="103">
      <c r="A103" t="str">
        <v xml:space="preserve">  • Beslag på inredning (toalettpappershållare, handdukshängare, tvålhållare, torkställ, WC-borste)</v>
      </c>
    </row>
    <row r="104">
      <c r="A104" t="str">
        <v xml:space="preserve">  • Speglar med belysning</v>
      </c>
    </row>
    <row r="105">
      <c r="A105" t="str">
        <v xml:space="preserve">  • El-installation (golvvärme, spottar, uttag, brytare)</v>
      </c>
    </row>
    <row r="106">
      <c r="A106" t="str">
        <v/>
      </c>
    </row>
    <row r="107">
      <c r="A107" t="str">
        <v>Inredning bakas in i UE-schabloner eller egna Byggbiten-poster</v>
      </c>
    </row>
    <row r="108">
      <c r="A108" t="str">
        <v>(t.ex. porslin för toalett, garderob_60 för sovrum).</v>
      </c>
    </row>
    <row r="109">
      <c r="A109" t="str">
        <v/>
      </c>
    </row>
    <row r="110">
      <c r="A110" t="str">
        <v>Om en Wikells-byggdel innehåller inrednings-artiklar — radera dessa ur Flik 4</v>
      </c>
    </row>
    <row r="111">
      <c r="A111" t="str">
        <v>och räkna om byggdelens pris enligt Wikells-formeln:</v>
      </c>
    </row>
    <row r="112">
      <c r="A112" t="str">
        <v xml:space="preserve">  pris = Σ(MaterialPris × Spill × Åtgång) + Σ(Tid × 930 × Åtgång) + Σ(UE × 1.10 × Åtgång)</v>
      </c>
    </row>
    <row r="113">
      <c r="A113" t="str">
        <v/>
      </c>
    </row>
    <row r="114">
      <c r="A114" t="str">
        <v/>
      </c>
    </row>
    <row r="115">
      <c r="A115" t="str">
        <v>══════════════════════════════════════════════════════════</v>
      </c>
    </row>
    <row r="116">
      <c r="A116" t="str">
        <v>MOMS (2026-04-22)</v>
      </c>
    </row>
    <row r="117">
      <c r="A117" t="str">
        <v>══════════════════════════════════════════════════════════</v>
      </c>
    </row>
    <row r="118">
      <c r="A118" t="str">
        <v>Alla priser i master.xlsx är EXKL moms.</v>
      </c>
    </row>
    <row r="119">
      <c r="A119" t="str">
        <v>Det gäller även UE-schablonerna (VVS 40 000, El 20 000).</v>
      </c>
    </row>
    <row r="120">
      <c r="A120" t="str">
        <v>App:en multiplicerar med 1.25 i print-layoutens inkl-moms-kolumn.</v>
      </c>
    </row>
    <row r="121">
      <c r="A121" t="str">
        <v/>
      </c>
    </row>
    <row r="122">
      <c r="A122" t="str">
        <v/>
      </c>
    </row>
    <row r="123">
      <c r="A123" t="str">
        <v>══════════════════════════════════════════════════════════</v>
      </c>
    </row>
    <row r="124">
      <c r="A124" t="str">
        <v>UE-TAGGAR (2026-04-22)</v>
      </c>
    </row>
    <row r="125">
      <c r="A125" t="str">
        <v>══════════════════════════════════════════════════════════</v>
      </c>
    </row>
    <row r="126">
      <c r="A126" t="str">
        <v>Poster med kolumn `tagLabel` ifylld renderas med badge i UI.</v>
      </c>
    </row>
    <row r="127">
      <c r="A127" t="str">
        <v>Aktuella värden:</v>
      </c>
    </row>
    <row r="128">
      <c r="A128" t="str">
        <v xml:space="preserve">  • UE-VS   → blå badge (Byggbiten UE-schablon VVS, 40 000 kr ex moms)</v>
      </c>
    </row>
    <row r="129">
      <c r="A129" t="str">
        <v xml:space="preserve">  • UE-El   → grön badge (Byggbiten UE-schablon El, 20 000 kr ex moms)</v>
      </c>
    </row>
    <row r="130">
      <c r="A130" t="str">
        <v/>
      </c>
    </row>
    <row r="131">
      <c r="A131" t="str">
        <v>Lämna tagLabel-kolumnen tom för poster som inte ska ha badge.</v>
      </c>
    </row>
    <row r="132">
      <c r="A132" t="str">
        <v>tagLabel överrider INTE den befintliga "Schablon"-taggen som bygger på Enhet=schablon.</v>
      </c>
    </row>
    <row r="133">
      <c r="A133" t="str">
        <v/>
      </c>
    </row>
    <row r="134">
      <c r="A134" t="str">
        <v/>
      </c>
    </row>
    <row r="135">
      <c r="A135" t="str">
        <v>══════════════════════════════════════════════════════════</v>
      </c>
    </row>
    <row r="136">
      <c r="A136" t="str">
        <v>BADRUM-STRUKTUR (efter 2026-04-22 UE-restructure)</v>
      </c>
    </row>
    <row r="137">
      <c r="A137" t="str">
        <v>══════════════════════════════════════════════════════════</v>
      </c>
    </row>
    <row r="138">
      <c r="A138" t="str">
        <v>Badrum består nu av följande kategorier:</v>
      </c>
    </row>
    <row r="139">
      <c r="A139" t="str">
        <v xml:space="preserve">  GOLV (radio): badrum_golv_klinker / badrum_golv_plastmatta</v>
      </c>
    </row>
    <row r="140">
      <c r="A140" t="str">
        <v xml:space="preserve">  VÄGG (radio): badrum_vagg_kakel / badrum_vagg_plastmatta / badrum_vagg_farg</v>
      </c>
    </row>
    <row r="141">
      <c r="A141" t="str">
        <v xml:space="preserve">  INREDNING: badrum_dorr (Våtrumsdörr, 4 655 kr Wikells)</v>
      </c>
    </row>
    <row r="142">
      <c r="A142" t="str">
        <v xml:space="preserve">  UE: badrum_ue_vs (40 000 kr Byggbiten) + badrum_ue_el (20 000 kr Byggbiten)</v>
      </c>
    </row>
    <row r="143">
      <c r="A143" t="str">
        <v xml:space="preserve">  Rumsföljeposter: badrum_rivning, badrum_fallspackling, skyddstackning</v>
      </c>
    </row>
    <row r="144">
      <c r="A144" t="str">
        <v/>
      </c>
    </row>
    <row r="145">
      <c r="A145" t="str">
        <v>Tidigare hade badrum även badrum_wc_dusch (Wikells 17.034, 30 816) och</v>
      </c>
    </row>
    <row r="146">
      <c r="A146" t="str">
        <v>badrum_inredning (Wikells 17.032, 9 274). Båda innehöll ~85 % inrednings-</v>
      </c>
    </row>
    <row r="147">
      <c r="A147" t="str">
        <v>artiklar (WC-stol, blandare, spegel, skåp, toalettpapper) vilket strider</v>
      </c>
    </row>
    <row r="148">
      <c r="A148" t="str">
        <v>mot Wikells-byggdels-principen ovan. Borttagna och ersatta av UE-VS.</v>
      </c>
    </row>
    <row r="150">
      <c r="A150" t="str">
        <v/>
      </c>
    </row>
    <row r="151">
      <c r="A151" t="str">
        <v>══════════════════════════════════════════════════════════</v>
      </c>
    </row>
    <row r="152">
      <c r="A152" t="str">
        <v>RUMSTYPER (2026-04-22): Korridor vs Entré</v>
      </c>
    </row>
    <row r="153">
      <c r="A153" t="str">
        <v>══════════════════════════════════════════════════════════</v>
      </c>
    </row>
    <row r="154">
      <c r="A154" t="str">
        <v>Hall omdöpt till "Korridor" för tydlighet. Två separata rumstyper finns:</v>
      </c>
    </row>
    <row r="155">
      <c r="A155" t="str">
        <v/>
      </c>
    </row>
    <row r="156">
      <c r="A156" t="str">
        <v xml:space="preserve">  • KORRIDOR = mellankorridor/gångutrymme mellan rum.</v>
      </c>
    </row>
    <row r="157">
      <c r="A157" t="str">
        <v xml:space="preserve">    Kan ha klinker på hela golvet (golv_klinker) eller annat golvmaterial.</v>
      </c>
    </row>
    <row r="158">
      <c r="A158" t="str">
        <v xml:space="preserve">    Har sockel, taklist, innerdörr, målning, garderob.</v>
      </c>
    </row>
    <row r="159">
      <c r="A159" t="str">
        <v/>
      </c>
    </row>
    <row r="160">
      <c r="A160" t="str">
        <v xml:space="preserve">  • ENTRÉ = ingångshall med ytterdörr och hatthylla.</v>
      </c>
    </row>
    <row r="161">
      <c r="A161" t="str">
        <v xml:space="preserve">    Klinker läggs som del av golvet (entre_klinker, hasArea, reducesFloor).</v>
      </c>
    </row>
    <row r="162">
      <c r="A162" t="str">
        <v xml:space="preserve">    Har även ytterdörr (Daloc) och fönstermålning.</v>
      </c>
    </row>
    <row r="163">
      <c r="A163" t="str">
        <v/>
      </c>
    </row>
    <row r="164">
      <c r="A164" t="str">
        <v>Samma person kan ha båda i samma kalkyl — de är olika rum.</v>
      </c>
    </row>
    <row r="165">
      <c r="A165" t="str">
        <v/>
      </c>
    </row>
    <row r="166">
      <c r="A166" t="str">
        <v>Rumstyp-ID i koden är fortfarande "hall" (bakåtkompatibilitet för</v>
      </c>
    </row>
    <row r="167">
      <c r="A167" t="str">
        <v>sparade kalkyler). Endast Visningsnamn är uppdaterat till "Korridor".</v>
      </c>
    </row>
  </sheetData>
  <ignoredErrors>
    <ignoredError numberStoredAsText="1" sqref="A1:B16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Priser</vt:lpstr>
      <vt:lpstr>Rumstyper</vt:lpstr>
      <vt:lpstr>Rum × poster</vt:lpstr>
      <vt:lpstr>Wbr-byggdelar</vt:lpstr>
      <vt:lpstr>Förklaring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